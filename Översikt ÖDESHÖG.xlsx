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46248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20262-2022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44698</v>
      </c>
      <c r="E3" s="1" t="n">
        <v>46248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10.3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4</v>
      </c>
      <c r="U3" t="n">
        <v>4</v>
      </c>
      <c r="V3" s="2" t="inlineStr">
        <is>
          <t>Knärot
Blåmossa
Mindre märgborre</t>
        </is>
      </c>
      <c r="W3">
        <f>HYPERLINK("https://klasma.github.io/Logging_0509/artfynd/A 20262-2022 artfynd.xlsx", "A 20262-2022")</f>
        <v/>
      </c>
      <c r="X3">
        <f>HYPERLINK("https://klasma.github.io/Logging_0509/kartor/A 20262-2022 karta.png", "A 20262-2022")</f>
        <v/>
      </c>
      <c r="Y3">
        <f>HYPERLINK("https://klasma.github.io/Logging_0509/kartor_geotiff/A 20262-2022 georefererad karta.tif", "A 20262-2022")</f>
        <v/>
      </c>
      <c r="Z3">
        <f>HYPERLINK("https://klasma.github.io/Logging_0509/knärot/A 20262-2022 karta knärot.png", "A 20262-2022")</f>
        <v/>
      </c>
      <c r="AA3">
        <f>HYPERLINK("https://klasma.github.io/Logging_0509/klagomål/A 20262-2022 FSC-klagomål.docx", "A 20262-2022")</f>
        <v/>
      </c>
      <c r="AB3">
        <f>HYPERLINK("https://klasma.github.io/Logging_0509/klagomålsmail/A 20262-2022 FSC-klagomål mail.docx", "A 20262-2022")</f>
        <v/>
      </c>
      <c r="AC3">
        <f>HYPERLINK("https://klasma.github.io/Logging_0509/tillsyn/A 20262-2022 tillsynsbegäran.docx", "A 20262-2022")</f>
        <v/>
      </c>
      <c r="AD3">
        <f>HYPERLINK("https://klasma.github.io/Logging_0509/tillsynsmail/A 20262-2022 tillsynsbegäran mail.docx", "A 20262-2022")</f>
        <v/>
      </c>
    </row>
    <row r="4" ht="15" customHeight="1">
      <c r="A4" t="inlineStr">
        <is>
          <t>A 11099-2025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46248</v>
      </c>
      <c r="F4" t="inlineStr">
        <is>
          <t>ÖSTERGÖTLANDS LÄN</t>
        </is>
      </c>
      <c r="G4" t="inlineStr">
        <is>
          <t>ÖDESHÖG</t>
        </is>
      </c>
      <c r="I4" t="n">
        <v>0.4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Strutbräken
Svart trolldruva
Gullviva</t>
        </is>
      </c>
      <c r="W4">
        <f>HYPERLINK("https://klasma.github.io/Logging_0509/artfynd/A 11099-2025 artfynd.xlsx", "A 11099-2025")</f>
        <v/>
      </c>
      <c r="X4">
        <f>HYPERLINK("https://klasma.github.io/Logging_0509/kartor/A 11099-2025 karta.png", "A 11099-2025")</f>
        <v/>
      </c>
      <c r="Y4">
        <f>HYPERLINK("https://klasma.github.io/Logging_0509/kartor_geotiff/A 11099-2025 georefererad karta.tif", "A 11099-2025")</f>
        <v/>
      </c>
      <c r="AA4">
        <f>HYPERLINK("https://klasma.github.io/Logging_0509/klagomål/A 11099-2025 FSC-klagomål.docx", "A 11099-2025")</f>
        <v/>
      </c>
      <c r="AB4">
        <f>HYPERLINK("https://klasma.github.io/Logging_0509/klagomålsmail/A 11099-2025 FSC-klagomål mail.docx", "A 11099-2025")</f>
        <v/>
      </c>
      <c r="AC4">
        <f>HYPERLINK("https://klasma.github.io/Logging_0509/tillsyn/A 11099-2025 tillsynsbegäran.docx", "A 11099-2025")</f>
        <v/>
      </c>
      <c r="AD4">
        <f>HYPERLINK("https://klasma.github.io/Logging_0509/tillsynsmail/A 11099-2025 tillsynsbegäran mail.docx", "A 11099-2025")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46248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46248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46248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46248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46248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32713-2024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45516</v>
      </c>
      <c r="E10" s="1" t="n">
        <v>46248</v>
      </c>
      <c r="F10" t="inlineStr">
        <is>
          <t>ÖSTERGÖTLANDS LÄN</t>
        </is>
      </c>
      <c r="G10" t="inlineStr">
        <is>
          <t>ÖDESHÖG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Kristinspindling</t>
        </is>
      </c>
      <c r="W10">
        <f>HYPERLINK("https://klasma.github.io/Logging_0509/artfynd/A 32713-2024 artfynd.xlsx", "A 32713-2024")</f>
        <v/>
      </c>
      <c r="X10">
        <f>HYPERLINK("https://klasma.github.io/Logging_0509/kartor/A 32713-2024 karta.png", "A 32713-2024")</f>
        <v/>
      </c>
      <c r="Y10">
        <f>HYPERLINK("https://klasma.github.io/Logging_0509/kartor_geotiff/A 32713-2024 georefererad karta.tif", "A 32713-2024")</f>
        <v/>
      </c>
      <c r="AA10">
        <f>HYPERLINK("https://klasma.github.io/Logging_0509/klagomål/A 32713-2024 FSC-klagomål.docx", "A 32713-2024")</f>
        <v/>
      </c>
      <c r="AB10">
        <f>HYPERLINK("https://klasma.github.io/Logging_0509/klagomålsmail/A 32713-2024 FSC-klagomål mail.docx", "A 32713-2024")</f>
        <v/>
      </c>
      <c r="AC10">
        <f>HYPERLINK("https://klasma.github.io/Logging_0509/tillsyn/A 32713-2024 tillsynsbegäran.docx", "A 32713-2024")</f>
        <v/>
      </c>
      <c r="AD10">
        <f>HYPERLINK("https://klasma.github.io/Logging_0509/tillsynsmail/A 32713-2024 tillsynsbegäran mail.docx", "A 32713-2024")</f>
        <v/>
      </c>
    </row>
    <row r="11" ht="15" customHeight="1">
      <c r="A11" t="inlineStr">
        <is>
          <t>A 62988-2023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46248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19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Skogsalm</t>
        </is>
      </c>
      <c r="W11">
        <f>HYPERLINK("https://klasma.github.io/Logging_0509/artfynd/A 62988-2023 artfynd.xlsx", "A 62988-2023")</f>
        <v/>
      </c>
      <c r="X11">
        <f>HYPERLINK("https://klasma.github.io/Logging_0509/kartor/A 62988-2023 karta.png", "A 62988-2023")</f>
        <v/>
      </c>
      <c r="Y11">
        <f>HYPERLINK("https://klasma.github.io/Logging_0509/kartor_geotiff/A 62988-2023 georefererad karta.tif", "A 62988-2023")</f>
        <v/>
      </c>
      <c r="AA11">
        <f>HYPERLINK("https://klasma.github.io/Logging_0509/klagomål/A 62988-2023 FSC-klagomål.docx", "A 62988-2023")</f>
        <v/>
      </c>
      <c r="AB11">
        <f>HYPERLINK("https://klasma.github.io/Logging_0509/klagomålsmail/A 62988-2023 FSC-klagomål mail.docx", "A 62988-2023")</f>
        <v/>
      </c>
      <c r="AC11">
        <f>HYPERLINK("https://klasma.github.io/Logging_0509/tillsyn/A 62988-2023 tillsynsbegäran.docx", "A 62988-2023")</f>
        <v/>
      </c>
      <c r="AD11">
        <f>HYPERLINK("https://klasma.github.io/Logging_0509/tillsynsmail/A 62988-2023 tillsynsbegäran mail.docx", "A 62988-2023")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46248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46248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50774-2023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45210</v>
      </c>
      <c r="E14" s="1" t="n">
        <v>46248</v>
      </c>
      <c r="F14" t="inlineStr">
        <is>
          <t>ÖSTERGÖTLANDS LÄN</t>
        </is>
      </c>
      <c r="G14" t="inlineStr">
        <is>
          <t>ÖDESHÖG</t>
        </is>
      </c>
      <c r="I14" t="n">
        <v>9.5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Mörk dunört</t>
        </is>
      </c>
      <c r="W14">
        <f>HYPERLINK("https://klasma.github.io/Logging_0509/artfynd/A 50774-2023 artfynd.xlsx", "A 50774-2023")</f>
        <v/>
      </c>
      <c r="X14">
        <f>HYPERLINK("https://klasma.github.io/Logging_0509/kartor/A 50774-2023 karta.png", "A 50774-2023")</f>
        <v/>
      </c>
      <c r="Y14">
        <f>HYPERLINK("https://klasma.github.io/Logging_0509/kartor_geotiff/A 50774-2023 georefererad karta.tif", "A 50774-2023")</f>
        <v/>
      </c>
      <c r="AA14">
        <f>HYPERLINK("https://klasma.github.io/Logging_0509/klagomål/A 50774-2023 FSC-klagomål.docx", "A 50774-2023")</f>
        <v/>
      </c>
      <c r="AB14">
        <f>HYPERLINK("https://klasma.github.io/Logging_0509/klagomålsmail/A 50774-2023 FSC-klagomål mail.docx", "A 50774-2023")</f>
        <v/>
      </c>
      <c r="AC14">
        <f>HYPERLINK("https://klasma.github.io/Logging_0509/tillsyn/A 50774-2023 tillsynsbegäran.docx", "A 50774-2023")</f>
        <v/>
      </c>
      <c r="AD14">
        <f>HYPERLINK("https://klasma.github.io/Logging_0509/tillsynsmail/A 50774-2023 tillsynsbegäran mail.docx", "A 50774-2023")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46248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46248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15437-2025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45747</v>
      </c>
      <c r="E17" s="1" t="n">
        <v>46248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HYPERLINK("https://klasma.github.io/Logging_0509/artfynd/A 15437-2025 artfynd.xlsx", "A 15437-2025")</f>
        <v/>
      </c>
      <c r="X17">
        <f>HYPERLINK("https://klasma.github.io/Logging_0509/kartor/A 15437-2025 karta.png", "A 15437-2025")</f>
        <v/>
      </c>
      <c r="Y17">
        <f>HYPERLINK("https://klasma.github.io/Logging_0509/kartor_geotiff/A 15437-2025 georefererad karta.tif", "A 15437-2025")</f>
        <v/>
      </c>
      <c r="Z17">
        <f>HYPERLINK("https://klasma.github.io/Logging_0509/knärot/A 15437-2025 karta knärot.png", "A 15437-2025")</f>
        <v/>
      </c>
      <c r="AA17">
        <f>HYPERLINK("https://klasma.github.io/Logging_0509/klagomål/A 15437-2025 FSC-klagomål.docx", "A 15437-2025")</f>
        <v/>
      </c>
      <c r="AB17">
        <f>HYPERLINK("https://klasma.github.io/Logging_0509/klagomålsmail/A 15437-2025 FSC-klagomål mail.docx", "A 15437-2025")</f>
        <v/>
      </c>
      <c r="AC17">
        <f>HYPERLINK("https://klasma.github.io/Logging_0509/tillsyn/A 15437-2025 tillsynsbegäran.docx", "A 15437-2025")</f>
        <v/>
      </c>
      <c r="AD17">
        <f>HYPERLINK("https://klasma.github.io/Logging_0509/tillsynsmail/A 15437-2025 tillsynsbegäran mail.docx", "A 15437-2025")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46248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46248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46248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46248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46248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62919-2021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46248</v>
      </c>
      <c r="F23" t="inlineStr">
        <is>
          <t>ÖSTERGÖTLANDS LÄN</t>
        </is>
      </c>
      <c r="G23" t="inlineStr">
        <is>
          <t>ÖDESHÖG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64622-2021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44511</v>
      </c>
      <c r="E24" s="1" t="n">
        <v>46248</v>
      </c>
      <c r="F24" t="inlineStr">
        <is>
          <t>ÖSTERGÖTLANDS LÄN</t>
        </is>
      </c>
      <c r="G24" t="inlineStr">
        <is>
          <t>ÖDESHÖG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51771-2021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46248</v>
      </c>
      <c r="F25" t="inlineStr">
        <is>
          <t>ÖSTERGÖTLANDS LÄN</t>
        </is>
      </c>
      <c r="G25" t="inlineStr">
        <is>
          <t>ÖDESHÖG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46248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46248</v>
      </c>
      <c r="F27" t="inlineStr">
        <is>
          <t>ÖSTERGÖTLANDS LÄN</t>
        </is>
      </c>
      <c r="G27" t="inlineStr">
        <is>
          <t>ÖDESHÖG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46248</v>
      </c>
      <c r="F28" t="inlineStr">
        <is>
          <t>ÖSTERGÖTLANDS LÄN</t>
        </is>
      </c>
      <c r="G28" t="inlineStr">
        <is>
          <t>ÖDESHÖG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64251-2021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46248</v>
      </c>
      <c r="F29" t="inlineStr">
        <is>
          <t>ÖSTERGÖTLANDS LÄN</t>
        </is>
      </c>
      <c r="G29" t="inlineStr">
        <is>
          <t>ÖDESHÖG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52476-2021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44466</v>
      </c>
      <c r="E30" s="1" t="n">
        <v>46248</v>
      </c>
      <c r="F30" t="inlineStr">
        <is>
          <t>ÖSTERGÖTLANDS LÄN</t>
        </is>
      </c>
      <c r="G30" t="inlineStr">
        <is>
          <t>ÖDESHÖG</t>
        </is>
      </c>
      <c r="H30" t="inlineStr">
        <is>
          <t>Kyrkan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46248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44666</v>
      </c>
      <c r="E32" s="1" t="n">
        <v>46248</v>
      </c>
      <c r="F32" t="inlineStr">
        <is>
          <t>ÖSTERGÖTLANDS LÄN</t>
        </is>
      </c>
      <c r="G32" t="inlineStr">
        <is>
          <t>ÖDESHÖG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26949-2023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46248</v>
      </c>
      <c r="F33" t="inlineStr">
        <is>
          <t>ÖSTERGÖTLANDS LÄN</t>
        </is>
      </c>
      <c r="G33" t="inlineStr">
        <is>
          <t>ÖDESHÖG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15813-2022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44664</v>
      </c>
      <c r="E34" s="1" t="n">
        <v>46248</v>
      </c>
      <c r="F34" t="inlineStr">
        <is>
          <t>ÖSTERGÖTLANDS LÄN</t>
        </is>
      </c>
      <c r="G34" t="inlineStr">
        <is>
          <t>ÖDESHÖG</t>
        </is>
      </c>
      <c r="H34" t="inlineStr">
        <is>
          <t>Sveaskog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46248</v>
      </c>
      <c r="F35" t="inlineStr">
        <is>
          <t>ÖSTERGÖTLANDS LÄN</t>
        </is>
      </c>
      <c r="G35" t="inlineStr">
        <is>
          <t>ÖDESHÖG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34979-2022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44796</v>
      </c>
      <c r="E36" s="1" t="n">
        <v>46248</v>
      </c>
      <c r="F36" t="inlineStr">
        <is>
          <t>ÖSTERGÖTLANDS LÄN</t>
        </is>
      </c>
      <c r="G36" t="inlineStr">
        <is>
          <t>ÖDESHÖG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46248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43263-2023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45183</v>
      </c>
      <c r="E38" s="1" t="n">
        <v>46248</v>
      </c>
      <c r="F38" t="inlineStr">
        <is>
          <t>ÖSTERGÖTLANDS LÄN</t>
        </is>
      </c>
      <c r="G38" t="inlineStr">
        <is>
          <t>ÖDESHÖG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46248</v>
      </c>
      <c r="F39" t="inlineStr">
        <is>
          <t>ÖSTERGÖTLANDS LÄN</t>
        </is>
      </c>
      <c r="G39" t="inlineStr">
        <is>
          <t>ÖDESHÖG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46248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46248</v>
      </c>
      <c r="F41" t="inlineStr">
        <is>
          <t>ÖSTERGÖTLANDS LÄN</t>
        </is>
      </c>
      <c r="G41" t="inlineStr">
        <is>
          <t>ÖDESHÖG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50387-2024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46248</v>
      </c>
      <c r="F42" t="inlineStr">
        <is>
          <t>ÖSTERGÖTLANDS LÄN</t>
        </is>
      </c>
      <c r="G42" t="inlineStr">
        <is>
          <t>ÖDESHÖG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46248</v>
      </c>
      <c r="F43" t="inlineStr">
        <is>
          <t>ÖSTERGÖTLANDS LÄN</t>
        </is>
      </c>
      <c r="G43" t="inlineStr">
        <is>
          <t>ÖDESHÖG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46248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45678</v>
      </c>
      <c r="E45" s="1" t="n">
        <v>46248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18.6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46248</v>
      </c>
      <c r="F46" t="inlineStr">
        <is>
          <t>ÖSTERGÖTLANDS LÄN</t>
        </is>
      </c>
      <c r="G46" t="inlineStr">
        <is>
          <t>ÖDESHÖG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46248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45281</v>
      </c>
      <c r="E48" s="1" t="n">
        <v>46248</v>
      </c>
      <c r="F48" t="inlineStr">
        <is>
          <t>ÖSTERGÖTLANDS LÄN</t>
        </is>
      </c>
      <c r="G48" t="inlineStr">
        <is>
          <t>ÖDESHÖG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45281</v>
      </c>
      <c r="E49" s="1" t="n">
        <v>46248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15907-2024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45405</v>
      </c>
      <c r="E50" s="1" t="n">
        <v>46248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15915-2024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45405</v>
      </c>
      <c r="E51" s="1" t="n">
        <v>46248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45153</v>
      </c>
      <c r="E52" s="1" t="n">
        <v>46248</v>
      </c>
      <c r="F52" t="inlineStr">
        <is>
          <t>ÖSTERGÖTLANDS LÄN</t>
        </is>
      </c>
      <c r="G52" t="inlineStr">
        <is>
          <t>ÖDESHÖG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44698</v>
      </c>
      <c r="E53" s="1" t="n">
        <v>46248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45726</v>
      </c>
      <c r="E54" s="1" t="n">
        <v>46248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15909-2024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45405</v>
      </c>
      <c r="E55" s="1" t="n">
        <v>46248</v>
      </c>
      <c r="F55" t="inlineStr">
        <is>
          <t>ÖSTERGÖTLANDS LÄN</t>
        </is>
      </c>
      <c r="G55" t="inlineStr">
        <is>
          <t>ÖDESHÖG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16168-2023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45027</v>
      </c>
      <c r="E56" s="1" t="n">
        <v>46248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45065</v>
      </c>
      <c r="E57" s="1" t="n">
        <v>46248</v>
      </c>
      <c r="F57" t="inlineStr">
        <is>
          <t>ÖSTERGÖTLANDS LÄN</t>
        </is>
      </c>
      <c r="G57" t="inlineStr">
        <is>
          <t>ÖDESHÖG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45533</v>
      </c>
      <c r="E58" s="1" t="n">
        <v>46248</v>
      </c>
      <c r="F58" t="inlineStr">
        <is>
          <t>ÖSTERGÖTLANDS LÄN</t>
        </is>
      </c>
      <c r="G58" t="inlineStr">
        <is>
          <t>ÖDESHÖG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46248</v>
      </c>
      <c r="F59" t="inlineStr">
        <is>
          <t>ÖSTERGÖTLANDS LÄN</t>
        </is>
      </c>
      <c r="G59" t="inlineStr">
        <is>
          <t>ÖDESHÖG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45707</v>
      </c>
      <c r="E60" s="1" t="n">
        <v>46248</v>
      </c>
      <c r="F60" t="inlineStr">
        <is>
          <t>ÖSTERGÖTLANDS LÄN</t>
        </is>
      </c>
      <c r="G60" t="inlineStr">
        <is>
          <t>ÖDESHÖG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45516</v>
      </c>
      <c r="E61" s="1" t="n">
        <v>46248</v>
      </c>
      <c r="F61" t="inlineStr">
        <is>
          <t>ÖSTERGÖTLANDS LÄN</t>
        </is>
      </c>
      <c r="G61" t="inlineStr">
        <is>
          <t>ÖDESHÖG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38718-2023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45163</v>
      </c>
      <c r="E62" s="1" t="n">
        <v>46248</v>
      </c>
      <c r="F62" t="inlineStr">
        <is>
          <t>ÖSTERGÖTLANDS LÄN</t>
        </is>
      </c>
      <c r="G62" t="inlineStr">
        <is>
          <t>ÖDESHÖG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46248</v>
      </c>
      <c r="F63" t="inlineStr">
        <is>
          <t>ÖSTERGÖTLANDS LÄN</t>
        </is>
      </c>
      <c r="G63" t="inlineStr">
        <is>
          <t>ÖDESHÖG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46248</v>
      </c>
      <c r="F64" t="inlineStr">
        <is>
          <t>ÖSTERGÖTLANDS LÄN</t>
        </is>
      </c>
      <c r="G64" t="inlineStr">
        <is>
          <t>ÖDESHÖG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45163</v>
      </c>
      <c r="E65" s="1" t="n">
        <v>46248</v>
      </c>
      <c r="F65" t="inlineStr">
        <is>
          <t>ÖSTERGÖTLANDS LÄN</t>
        </is>
      </c>
      <c r="G65" t="inlineStr">
        <is>
          <t>ÖDESHÖG</t>
        </is>
      </c>
      <c r="H65" t="inlineStr">
        <is>
          <t>Allmännings- och besparingsskogar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15906-2024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45405</v>
      </c>
      <c r="E66" s="1" t="n">
        <v>46248</v>
      </c>
      <c r="F66" t="inlineStr">
        <is>
          <t>ÖSTERGÖTLANDS LÄN</t>
        </is>
      </c>
      <c r="G66" t="inlineStr">
        <is>
          <t>ÖDESHÖG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35097-2023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45145</v>
      </c>
      <c r="E67" s="1" t="n">
        <v>46248</v>
      </c>
      <c r="F67" t="inlineStr">
        <is>
          <t>ÖSTERGÖTLANDS LÄN</t>
        </is>
      </c>
      <c r="G67" t="inlineStr">
        <is>
          <t>ÖDESHÖG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17126-2024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46248</v>
      </c>
      <c r="F68" t="inlineStr">
        <is>
          <t>ÖSTERGÖTLANDS LÄN</t>
        </is>
      </c>
      <c r="G68" t="inlineStr">
        <is>
          <t>ÖDESHÖG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39920-2024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46248</v>
      </c>
      <c r="F69" t="inlineStr">
        <is>
          <t>ÖSTERGÖTLANDS LÄN</t>
        </is>
      </c>
      <c r="G69" t="inlineStr">
        <is>
          <t>ÖDESHÖG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45973-2024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45580</v>
      </c>
      <c r="E70" s="1" t="n">
        <v>46248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46248</v>
      </c>
      <c r="F71" t="inlineStr">
        <is>
          <t>ÖSTERGÖTLANDS LÄN</t>
        </is>
      </c>
      <c r="G71" t="inlineStr">
        <is>
          <t>ÖDESHÖG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45113</v>
      </c>
      <c r="E72" s="1" t="n">
        <v>46248</v>
      </c>
      <c r="F72" t="inlineStr">
        <is>
          <t>ÖSTERGÖTLANDS LÄN</t>
        </is>
      </c>
      <c r="G72" t="inlineStr">
        <is>
          <t>ÖDESHÖG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45113</v>
      </c>
      <c r="E73" s="1" t="n">
        <v>46248</v>
      </c>
      <c r="F73" t="inlineStr">
        <is>
          <t>ÖSTERGÖTLANDS LÄN</t>
        </is>
      </c>
      <c r="G73" t="inlineStr">
        <is>
          <t>ÖDESHÖG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45328</v>
      </c>
      <c r="E74" s="1" t="n">
        <v>46248</v>
      </c>
      <c r="F74" t="inlineStr">
        <is>
          <t>ÖSTERGÖTLANDS LÄN</t>
        </is>
      </c>
      <c r="G74" t="inlineStr">
        <is>
          <t>ÖDESHÖG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54226-2021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46248</v>
      </c>
      <c r="F75" t="inlineStr">
        <is>
          <t>ÖSTERGÖTLANDS LÄN</t>
        </is>
      </c>
      <c r="G75" t="inlineStr">
        <is>
          <t>ÖDESHÖG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45582</v>
      </c>
      <c r="E76" s="1" t="n">
        <v>46248</v>
      </c>
      <c r="F76" t="inlineStr">
        <is>
          <t>ÖSTERGÖTLANDS LÄN</t>
        </is>
      </c>
      <c r="G76" t="inlineStr">
        <is>
          <t>ÖDESHÖG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45342</v>
      </c>
      <c r="E77" s="1" t="n">
        <v>46248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45065</v>
      </c>
      <c r="E78" s="1" t="n">
        <v>46248</v>
      </c>
      <c r="F78" t="inlineStr">
        <is>
          <t>ÖSTERGÖTLANDS LÄN</t>
        </is>
      </c>
      <c r="G78" t="inlineStr">
        <is>
          <t>ÖDESHÖG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36075-2023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46248</v>
      </c>
      <c r="F79" t="inlineStr">
        <is>
          <t>ÖSTERGÖTLANDS LÄN</t>
        </is>
      </c>
      <c r="G79" t="inlineStr">
        <is>
          <t>ÖDESHÖG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64802-2021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44512</v>
      </c>
      <c r="E80" s="1" t="n">
        <v>46248</v>
      </c>
      <c r="F80" t="inlineStr">
        <is>
          <t>ÖSTERGÖTLANDS LÄN</t>
        </is>
      </c>
      <c r="G80" t="inlineStr">
        <is>
          <t>ÖDESHÖG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15790-2025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46248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46248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44938</v>
      </c>
      <c r="E83" s="1" t="n">
        <v>46248</v>
      </c>
      <c r="F83" t="inlineStr">
        <is>
          <t>ÖSTERGÖTLANDS LÄN</t>
        </is>
      </c>
      <c r="G83" t="inlineStr">
        <is>
          <t>ÖDESHÖG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45145</v>
      </c>
      <c r="E84" s="1" t="n">
        <v>46248</v>
      </c>
      <c r="F84" t="inlineStr">
        <is>
          <t>ÖSTERGÖTLANDS LÄN</t>
        </is>
      </c>
      <c r="G84" t="inlineStr">
        <is>
          <t>ÖDESHÖG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45316</v>
      </c>
      <c r="E85" s="1" t="n">
        <v>46248</v>
      </c>
      <c r="F85" t="inlineStr">
        <is>
          <t>ÖSTERGÖTLANDS LÄN</t>
        </is>
      </c>
      <c r="G85" t="inlineStr">
        <is>
          <t>ÖDESHÖG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48325-2022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44858</v>
      </c>
      <c r="E86" s="1" t="n">
        <v>46248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46248</v>
      </c>
      <c r="F87" t="inlineStr">
        <is>
          <t>ÖSTERGÖTLANDS LÄN</t>
        </is>
      </c>
      <c r="G87" t="inlineStr">
        <is>
          <t>ÖDESHÖG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46248</v>
      </c>
      <c r="F88" t="inlineStr">
        <is>
          <t>ÖSTERGÖTLANDS LÄN</t>
        </is>
      </c>
      <c r="G88" t="inlineStr">
        <is>
          <t>ÖDESHÖG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46248</v>
      </c>
      <c r="F89" t="inlineStr">
        <is>
          <t>ÖSTERGÖTLANDS LÄN</t>
        </is>
      </c>
      <c r="G89" t="inlineStr">
        <is>
          <t>ÖDESHÖG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46248</v>
      </c>
      <c r="F90" t="inlineStr">
        <is>
          <t>ÖSTERGÖTLANDS LÄN</t>
        </is>
      </c>
      <c r="G90" t="inlineStr">
        <is>
          <t>ÖDESHÖG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45416</v>
      </c>
      <c r="E91" s="1" t="n">
        <v>46248</v>
      </c>
      <c r="F91" t="inlineStr">
        <is>
          <t>ÖSTERGÖTLANDS LÄN</t>
        </is>
      </c>
      <c r="G91" t="inlineStr">
        <is>
          <t>ÖDESHÖG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45603</v>
      </c>
      <c r="E92" s="1" t="n">
        <v>46248</v>
      </c>
      <c r="F92" t="inlineStr">
        <is>
          <t>ÖSTERGÖTLANDS LÄN</t>
        </is>
      </c>
      <c r="G92" t="inlineStr">
        <is>
          <t>ÖDESHÖG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35229-2023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46248</v>
      </c>
      <c r="F93" t="inlineStr">
        <is>
          <t>ÖSTERGÖTLANDS LÄN</t>
        </is>
      </c>
      <c r="G93" t="inlineStr">
        <is>
          <t>ÖDESHÖG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46248</v>
      </c>
      <c r="F94" t="inlineStr">
        <is>
          <t>ÖSTERGÖTLANDS LÄN</t>
        </is>
      </c>
      <c r="G94" t="inlineStr">
        <is>
          <t>ÖDESHÖG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45693</v>
      </c>
      <c r="E95" s="1" t="n">
        <v>46248</v>
      </c>
      <c r="F95" t="inlineStr">
        <is>
          <t>ÖSTERGÖTLANDS LÄN</t>
        </is>
      </c>
      <c r="G95" t="inlineStr">
        <is>
          <t>ÖDESHÖG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46248</v>
      </c>
      <c r="F96" t="inlineStr">
        <is>
          <t>ÖSTERGÖTLANDS LÄN</t>
        </is>
      </c>
      <c r="G96" t="inlineStr">
        <is>
          <t>ÖDESHÖG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14156-2023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46248</v>
      </c>
      <c r="F97" t="inlineStr">
        <is>
          <t>ÖSTERGÖTLANDS LÄN</t>
        </is>
      </c>
      <c r="G97" t="inlineStr">
        <is>
          <t>ÖDESHÖG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46248</v>
      </c>
      <c r="F98" t="inlineStr">
        <is>
          <t>ÖSTERGÖTLANDS LÄN</t>
        </is>
      </c>
      <c r="G98" t="inlineStr">
        <is>
          <t>ÖDESHÖG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11193-2023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44992</v>
      </c>
      <c r="E99" s="1" t="n">
        <v>46248</v>
      </c>
      <c r="F99" t="inlineStr">
        <is>
          <t>ÖSTERGÖTLANDS LÄN</t>
        </is>
      </c>
      <c r="G99" t="inlineStr">
        <is>
          <t>ÖDESHÖG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45707</v>
      </c>
      <c r="E100" s="1" t="n">
        <v>46248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46248</v>
      </c>
      <c r="F101" t="inlineStr">
        <is>
          <t>ÖSTERGÖTLANDS LÄN</t>
        </is>
      </c>
      <c r="G101" t="inlineStr">
        <is>
          <t>ÖDESHÖG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45048</v>
      </c>
      <c r="E102" s="1" t="n">
        <v>46248</v>
      </c>
      <c r="F102" t="inlineStr">
        <is>
          <t>ÖSTERGÖTLANDS LÄN</t>
        </is>
      </c>
      <c r="G102" t="inlineStr">
        <is>
          <t>ÖDESHÖG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46248</v>
      </c>
      <c r="F103" t="inlineStr">
        <is>
          <t>ÖSTERGÖTLANDS LÄN</t>
        </is>
      </c>
      <c r="G103" t="inlineStr">
        <is>
          <t>ÖDESHÖG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46248</v>
      </c>
      <c r="F104" t="inlineStr">
        <is>
          <t>ÖSTERGÖTLANDS LÄN</t>
        </is>
      </c>
      <c r="G104" t="inlineStr">
        <is>
          <t>ÖDESHÖG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46248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46248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22.7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45027</v>
      </c>
      <c r="E107" s="1" t="n">
        <v>46248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46248</v>
      </c>
      <c r="F108" t="inlineStr">
        <is>
          <t>ÖSTERGÖTLANDS LÄN</t>
        </is>
      </c>
      <c r="G108" t="inlineStr">
        <is>
          <t>ÖDESHÖG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45407</v>
      </c>
      <c r="E109" s="1" t="n">
        <v>46248</v>
      </c>
      <c r="F109" t="inlineStr">
        <is>
          <t>ÖSTERGÖTLANDS LÄN</t>
        </is>
      </c>
      <c r="G109" t="inlineStr">
        <is>
          <t>ÖDESHÖG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45163</v>
      </c>
      <c r="E110" s="1" t="n">
        <v>46248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46248</v>
      </c>
      <c r="F111" t="inlineStr">
        <is>
          <t>ÖSTERGÖTLANDS LÄN</t>
        </is>
      </c>
      <c r="G111" t="inlineStr">
        <is>
          <t>ÖDESHÖG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46248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46248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9.5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46248</v>
      </c>
      <c r="F114" t="inlineStr">
        <is>
          <t>ÖSTERGÖTLANDS LÄN</t>
        </is>
      </c>
      <c r="G114" t="inlineStr">
        <is>
          <t>ÖDESHÖG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46248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45512</v>
      </c>
      <c r="E116" s="1" t="n">
        <v>46248</v>
      </c>
      <c r="F116" t="inlineStr">
        <is>
          <t>ÖSTERGÖTLANDS LÄN</t>
        </is>
      </c>
      <c r="G116" t="inlineStr">
        <is>
          <t>ÖDESHÖG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46248</v>
      </c>
      <c r="F117" t="inlineStr">
        <is>
          <t>ÖSTERGÖTLANDS LÄN</t>
        </is>
      </c>
      <c r="G117" t="inlineStr">
        <is>
          <t>ÖDESHÖG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44623</v>
      </c>
      <c r="E118" s="1" t="n">
        <v>46248</v>
      </c>
      <c r="F118" t="inlineStr">
        <is>
          <t>ÖSTERGÖTLANDS LÄN</t>
        </is>
      </c>
      <c r="G118" t="inlineStr">
        <is>
          <t>ÖDESHÖG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14185-2023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45009</v>
      </c>
      <c r="E119" s="1" t="n">
        <v>46248</v>
      </c>
      <c r="F119" t="inlineStr">
        <is>
          <t>ÖSTERGÖTLANDS LÄN</t>
        </is>
      </c>
      <c r="G119" t="inlineStr">
        <is>
          <t>ÖDESHÖG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46248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45471</v>
      </c>
      <c r="E121" s="1" t="n">
        <v>46248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44700</v>
      </c>
      <c r="E122" s="1" t="n">
        <v>46248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8.9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46248</v>
      </c>
      <c r="F123" t="inlineStr">
        <is>
          <t>ÖSTERGÖTLANDS LÄN</t>
        </is>
      </c>
      <c r="G123" t="inlineStr">
        <is>
          <t>ÖDESHÖG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44658</v>
      </c>
      <c r="E124" s="1" t="n">
        <v>46248</v>
      </c>
      <c r="F124" t="inlineStr">
        <is>
          <t>ÖSTERGÖTLANDS LÄN</t>
        </is>
      </c>
      <c r="G124" t="inlineStr">
        <is>
          <t>ÖDESHÖG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39190-2023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45166</v>
      </c>
      <c r="E125" s="1" t="n">
        <v>46248</v>
      </c>
      <c r="F125" t="inlineStr">
        <is>
          <t>ÖSTERGÖTLANDS LÄN</t>
        </is>
      </c>
      <c r="G125" t="inlineStr">
        <is>
          <t>ÖDESHÖG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46248</v>
      </c>
      <c r="F126" t="inlineStr">
        <is>
          <t>ÖSTERGÖTLANDS LÄN</t>
        </is>
      </c>
      <c r="G126" t="inlineStr">
        <is>
          <t>ÖDESHÖG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46248</v>
      </c>
      <c r="F127" t="inlineStr">
        <is>
          <t>ÖSTERGÖTLANDS LÄN</t>
        </is>
      </c>
      <c r="G127" t="inlineStr">
        <is>
          <t>ÖDESHÖG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45160</v>
      </c>
      <c r="E128" s="1" t="n">
        <v>46248</v>
      </c>
      <c r="F128" t="inlineStr">
        <is>
          <t>ÖSTERGÖTLANDS LÄN</t>
        </is>
      </c>
      <c r="G128" t="inlineStr">
        <is>
          <t>ÖDESHÖG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45049</v>
      </c>
      <c r="E129" s="1" t="n">
        <v>46248</v>
      </c>
      <c r="F129" t="inlineStr">
        <is>
          <t>ÖSTERGÖTLANDS LÄN</t>
        </is>
      </c>
      <c r="G129" t="inlineStr">
        <is>
          <t>ÖDESHÖG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46248</v>
      </c>
      <c r="F130" t="inlineStr">
        <is>
          <t>ÖSTERGÖTLANDS LÄN</t>
        </is>
      </c>
      <c r="G130" t="inlineStr">
        <is>
          <t>ÖDESHÖG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46248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46248</v>
      </c>
      <c r="F132" t="inlineStr">
        <is>
          <t>ÖSTERGÖTLANDS LÄN</t>
        </is>
      </c>
      <c r="G132" t="inlineStr">
        <is>
          <t>ÖDESHÖG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46248</v>
      </c>
      <c r="F133" t="inlineStr">
        <is>
          <t>ÖSTERGÖTLANDS LÄN</t>
        </is>
      </c>
      <c r="G133" t="inlineStr">
        <is>
          <t>ÖDESHÖG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61880-2021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46248</v>
      </c>
      <c r="F134" t="inlineStr">
        <is>
          <t>ÖSTERGÖTLANDS LÄN</t>
        </is>
      </c>
      <c r="G134" t="inlineStr">
        <is>
          <t>ÖDESHÖG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14993-2023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46248</v>
      </c>
      <c r="F135" t="inlineStr">
        <is>
          <t>ÖSTERGÖTLANDS LÄN</t>
        </is>
      </c>
      <c r="G135" t="inlineStr">
        <is>
          <t>ÖDESHÖG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46248</v>
      </c>
      <c r="F136" t="inlineStr">
        <is>
          <t>ÖSTERGÖTLANDS LÄN</t>
        </is>
      </c>
      <c r="G136" t="inlineStr">
        <is>
          <t>ÖDESHÖG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45225</v>
      </c>
      <c r="E137" s="1" t="n">
        <v>46248</v>
      </c>
      <c r="F137" t="inlineStr">
        <is>
          <t>ÖSTERGÖTLANDS LÄN</t>
        </is>
      </c>
      <c r="G137" t="inlineStr">
        <is>
          <t>ÖDESHÖG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45335</v>
      </c>
      <c r="E138" s="1" t="n">
        <v>46248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45049</v>
      </c>
      <c r="E139" s="1" t="n">
        <v>46248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46248</v>
      </c>
      <c r="F140" t="inlineStr">
        <is>
          <t>ÖSTERGÖTLANDS LÄN</t>
        </is>
      </c>
      <c r="G140" t="inlineStr">
        <is>
          <t>ÖDESHÖG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46248</v>
      </c>
      <c r="F141" t="inlineStr">
        <is>
          <t>ÖSTERGÖTLANDS LÄN</t>
        </is>
      </c>
      <c r="G141" t="inlineStr">
        <is>
          <t>ÖDESHÖG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35661-2024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46248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44999</v>
      </c>
      <c r="E143" s="1" t="n">
        <v>46248</v>
      </c>
      <c r="F143" t="inlineStr">
        <is>
          <t>ÖSTERGÖTLANDS LÄN</t>
        </is>
      </c>
      <c r="G143" t="inlineStr">
        <is>
          <t>ÖDESHÖG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46248</v>
      </c>
      <c r="F144" t="inlineStr">
        <is>
          <t>ÖSTERGÖTLANDS LÄN</t>
        </is>
      </c>
      <c r="G144" t="inlineStr">
        <is>
          <t>ÖDESHÖG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36114-2022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44803</v>
      </c>
      <c r="E145" s="1" t="n">
        <v>46248</v>
      </c>
      <c r="F145" t="inlineStr">
        <is>
          <t>ÖSTERGÖTLANDS LÄN</t>
        </is>
      </c>
      <c r="G145" t="inlineStr">
        <is>
          <t>ÖDESHÖG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45316</v>
      </c>
      <c r="E146" s="1" t="n">
        <v>46248</v>
      </c>
      <c r="F146" t="inlineStr">
        <is>
          <t>ÖSTERGÖTLANDS LÄN</t>
        </is>
      </c>
      <c r="G146" t="inlineStr">
        <is>
          <t>ÖDESHÖG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46248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46248</v>
      </c>
      <c r="F148" t="inlineStr">
        <is>
          <t>ÖSTERGÖTLANDS LÄN</t>
        </is>
      </c>
      <c r="G148" t="inlineStr">
        <is>
          <t>ÖDESHÖG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8256-2023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44974</v>
      </c>
      <c r="E149" s="1" t="n">
        <v>46248</v>
      </c>
      <c r="F149" t="inlineStr">
        <is>
          <t>ÖSTERGÖTLANDS LÄN</t>
        </is>
      </c>
      <c r="G149" t="inlineStr">
        <is>
          <t>ÖDESHÖG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46248</v>
      </c>
      <c r="F150" t="inlineStr">
        <is>
          <t>ÖSTERGÖTLANDS LÄN</t>
        </is>
      </c>
      <c r="G150" t="inlineStr">
        <is>
          <t>ÖDESHÖG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46248</v>
      </c>
      <c r="F151" t="inlineStr">
        <is>
          <t>ÖSTERGÖTLANDS LÄN</t>
        </is>
      </c>
      <c r="G151" t="inlineStr">
        <is>
          <t>ÖDESHÖG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14736-2024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45397</v>
      </c>
      <c r="E152" s="1" t="n">
        <v>46248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45084</v>
      </c>
      <c r="E153" s="1" t="n">
        <v>46248</v>
      </c>
      <c r="F153" t="inlineStr">
        <is>
          <t>ÖSTERGÖTLANDS LÄN</t>
        </is>
      </c>
      <c r="G153" t="inlineStr">
        <is>
          <t>ÖDESHÖG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46248</v>
      </c>
      <c r="F154" t="inlineStr">
        <is>
          <t>ÖSTERGÖTLANDS LÄN</t>
        </is>
      </c>
      <c r="G154" t="inlineStr">
        <is>
          <t>ÖDESHÖG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46248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45491</v>
      </c>
      <c r="E156" s="1" t="n">
        <v>46248</v>
      </c>
      <c r="F156" t="inlineStr">
        <is>
          <t>ÖSTERGÖTLANDS LÄN</t>
        </is>
      </c>
      <c r="G156" t="inlineStr">
        <is>
          <t>ÖDESHÖG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46248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44709</v>
      </c>
      <c r="E158" s="1" t="n">
        <v>46248</v>
      </c>
      <c r="F158" t="inlineStr">
        <is>
          <t>ÖSTERGÖTLANDS LÄN</t>
        </is>
      </c>
      <c r="G158" t="inlineStr">
        <is>
          <t>ÖDESHÖG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72603-2021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44546</v>
      </c>
      <c r="E159" s="1" t="n">
        <v>46248</v>
      </c>
      <c r="F159" t="inlineStr">
        <is>
          <t>ÖSTERGÖTLANDS LÄN</t>
        </is>
      </c>
      <c r="G159" t="inlineStr">
        <is>
          <t>ÖDESHÖG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46024</v>
      </c>
      <c r="E160" s="1" t="n">
        <v>46248</v>
      </c>
      <c r="F160" t="inlineStr">
        <is>
          <t>ÖSTERGÖTLANDS LÄN</t>
        </is>
      </c>
      <c r="G160" t="inlineStr">
        <is>
          <t>ÖDESHÖG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46009</v>
      </c>
      <c r="E161" s="1" t="n">
        <v>46248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45014</v>
      </c>
      <c r="E162" s="1" t="n">
        <v>46248</v>
      </c>
      <c r="F162" t="inlineStr">
        <is>
          <t>ÖSTERGÖTLANDS LÄN</t>
        </is>
      </c>
      <c r="G162" t="inlineStr">
        <is>
          <t>ÖDESHÖG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45902</v>
      </c>
      <c r="E163" s="1" t="n">
        <v>46248</v>
      </c>
      <c r="F163" t="inlineStr">
        <is>
          <t>ÖSTERGÖTLANDS LÄN</t>
        </is>
      </c>
      <c r="G163" t="inlineStr">
        <is>
          <t>ÖDESHÖG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46248</v>
      </c>
      <c r="F164" t="inlineStr">
        <is>
          <t>ÖSTERGÖTLANDS LÄN</t>
        </is>
      </c>
      <c r="G164" t="inlineStr">
        <is>
          <t>ÖDESHÖG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45782</v>
      </c>
      <c r="E165" s="1" t="n">
        <v>46248</v>
      </c>
      <c r="F165" t="inlineStr">
        <is>
          <t>ÖSTERGÖTLANDS LÄN</t>
        </is>
      </c>
      <c r="G165" t="inlineStr">
        <is>
          <t>ÖDESHÖG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46248</v>
      </c>
      <c r="F166" t="inlineStr">
        <is>
          <t>ÖSTERGÖTLANDS LÄN</t>
        </is>
      </c>
      <c r="G166" t="inlineStr">
        <is>
          <t>ÖDESHÖG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46009</v>
      </c>
      <c r="E167" s="1" t="n">
        <v>46248</v>
      </c>
      <c r="F167" t="inlineStr">
        <is>
          <t>ÖSTERGÖTLANDS LÄN</t>
        </is>
      </c>
      <c r="G167" t="inlineStr">
        <is>
          <t>ÖDESHÖG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45680</v>
      </c>
      <c r="E168" s="1" t="n">
        <v>46248</v>
      </c>
      <c r="F168" t="inlineStr">
        <is>
          <t>ÖSTERGÖTLANDS LÄN</t>
        </is>
      </c>
      <c r="G168" t="inlineStr">
        <is>
          <t>ÖDESHÖG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45217</v>
      </c>
      <c r="E169" s="1" t="n">
        <v>46248</v>
      </c>
      <c r="F169" t="inlineStr">
        <is>
          <t>ÖSTERGÖTLANDS LÄN</t>
        </is>
      </c>
      <c r="G169" t="inlineStr">
        <is>
          <t>ÖDESHÖG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45782</v>
      </c>
      <c r="E170" s="1" t="n">
        <v>46248</v>
      </c>
      <c r="F170" t="inlineStr">
        <is>
          <t>ÖSTERGÖTLANDS LÄN</t>
        </is>
      </c>
      <c r="G170" t="inlineStr">
        <is>
          <t>ÖDESHÖG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61011-2024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45645</v>
      </c>
      <c r="E171" s="1" t="n">
        <v>46248</v>
      </c>
      <c r="F171" t="inlineStr">
        <is>
          <t>ÖSTERGÖTLANDS LÄN</t>
        </is>
      </c>
      <c r="G171" t="inlineStr">
        <is>
          <t>ÖDESHÖG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46248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46248</v>
      </c>
      <c r="F173" t="inlineStr">
        <is>
          <t>ÖSTERGÖTLANDS LÄN</t>
        </is>
      </c>
      <c r="G173" t="inlineStr">
        <is>
          <t>ÖDESHÖG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46248</v>
      </c>
      <c r="F174" t="inlineStr">
        <is>
          <t>ÖSTERGÖTLANDS LÄN</t>
        </is>
      </c>
      <c r="G174" t="inlineStr">
        <is>
          <t>ÖDESHÖG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46248</v>
      </c>
      <c r="F175" t="inlineStr">
        <is>
          <t>ÖSTERGÖTLANDS LÄN</t>
        </is>
      </c>
      <c r="G175" t="inlineStr">
        <is>
          <t>ÖDESHÖG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47648-2025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46248</v>
      </c>
      <c r="F176" t="inlineStr">
        <is>
          <t>ÖSTERGÖTLANDS LÄN</t>
        </is>
      </c>
      <c r="G176" t="inlineStr">
        <is>
          <t>ÖDESHÖG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46248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Sveaskog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46248</v>
      </c>
      <c r="F178" t="inlineStr">
        <is>
          <t>ÖSTERGÖTLANDS LÄN</t>
        </is>
      </c>
      <c r="G178" t="inlineStr">
        <is>
          <t>ÖDESHÖG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46248</v>
      </c>
      <c r="F179" t="inlineStr">
        <is>
          <t>ÖSTERGÖTLANDS LÄN</t>
        </is>
      </c>
      <c r="G179" t="inlineStr">
        <is>
          <t>ÖDESHÖG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46248</v>
      </c>
      <c r="F180" t="inlineStr">
        <is>
          <t>ÖSTERGÖTLANDS LÄN</t>
        </is>
      </c>
      <c r="G180" t="inlineStr">
        <is>
          <t>ÖDESHÖG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45707</v>
      </c>
      <c r="E181" s="1" t="n">
        <v>46248</v>
      </c>
      <c r="F181" t="inlineStr">
        <is>
          <t>ÖSTERGÖTLANDS LÄN</t>
        </is>
      </c>
      <c r="G181" t="inlineStr">
        <is>
          <t>ÖDESHÖG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48611-2025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46248</v>
      </c>
      <c r="F182" t="inlineStr">
        <is>
          <t>ÖSTERGÖTLANDS LÄN</t>
        </is>
      </c>
      <c r="G182" t="inlineStr">
        <is>
          <t>ÖDESHÖG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46248</v>
      </c>
      <c r="F183" t="inlineStr">
        <is>
          <t>ÖSTERGÖTLANDS LÄN</t>
        </is>
      </c>
      <c r="G183" t="inlineStr">
        <is>
          <t>ÖDESHÖG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46248</v>
      </c>
      <c r="F184" t="inlineStr">
        <is>
          <t>ÖSTERGÖTLANDS LÄN</t>
        </is>
      </c>
      <c r="G184" t="inlineStr">
        <is>
          <t>ÖDESHÖG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46248</v>
      </c>
      <c r="F185" t="inlineStr">
        <is>
          <t>ÖSTERGÖTLANDS LÄN</t>
        </is>
      </c>
      <c r="G185" t="inlineStr">
        <is>
          <t>ÖDESHÖG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45944</v>
      </c>
      <c r="E186" s="1" t="n">
        <v>46248</v>
      </c>
      <c r="F186" t="inlineStr">
        <is>
          <t>ÖSTERGÖTLANDS LÄN</t>
        </is>
      </c>
      <c r="G186" t="inlineStr">
        <is>
          <t>ÖDESHÖG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51171-2025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46248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46248</v>
      </c>
      <c r="F188" t="inlineStr">
        <is>
          <t>ÖSTERGÖTLANDS LÄN</t>
        </is>
      </c>
      <c r="G188" t="inlineStr">
        <is>
          <t>ÖDESHÖG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46248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46248</v>
      </c>
      <c r="F190" t="inlineStr">
        <is>
          <t>ÖSTERGÖTLANDS LÄN</t>
        </is>
      </c>
      <c r="G190" t="inlineStr">
        <is>
          <t>ÖDESHÖG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46248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46248</v>
      </c>
      <c r="F192" t="inlineStr">
        <is>
          <t>ÖSTERGÖTLANDS LÄN</t>
        </is>
      </c>
      <c r="G192" t="inlineStr">
        <is>
          <t>ÖDESHÖG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46248</v>
      </c>
      <c r="F193" t="inlineStr">
        <is>
          <t>ÖSTERGÖTLANDS LÄN</t>
        </is>
      </c>
      <c r="G193" t="inlineStr">
        <is>
          <t>ÖDESHÖG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46248</v>
      </c>
      <c r="F194" t="inlineStr">
        <is>
          <t>ÖSTERGÖTLANDS LÄN</t>
        </is>
      </c>
      <c r="G194" t="inlineStr">
        <is>
          <t>ÖDESHÖG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45776</v>
      </c>
      <c r="E195" s="1" t="n">
        <v>46248</v>
      </c>
      <c r="F195" t="inlineStr">
        <is>
          <t>ÖSTERGÖTLANDS LÄN</t>
        </is>
      </c>
      <c r="G195" t="inlineStr">
        <is>
          <t>ÖDESHÖG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46248</v>
      </c>
      <c r="F196" t="inlineStr">
        <is>
          <t>ÖSTERGÖTLANDS LÄN</t>
        </is>
      </c>
      <c r="G196" t="inlineStr">
        <is>
          <t>ÖDESHÖG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46248</v>
      </c>
      <c r="F197" t="inlineStr">
        <is>
          <t>ÖSTERGÖTLANDS LÄN</t>
        </is>
      </c>
      <c r="G197" t="inlineStr">
        <is>
          <t>ÖDESHÖG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46248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46248</v>
      </c>
      <c r="F199" t="inlineStr">
        <is>
          <t>ÖSTERGÖTLANDS LÄN</t>
        </is>
      </c>
      <c r="G199" t="inlineStr">
        <is>
          <t>ÖDESHÖG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46248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46248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46002</v>
      </c>
      <c r="E202" s="1" t="n">
        <v>46248</v>
      </c>
      <c r="F202" t="inlineStr">
        <is>
          <t>ÖSTERGÖTLANDS LÄN</t>
        </is>
      </c>
      <c r="G202" t="inlineStr">
        <is>
          <t>ÖDESHÖG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46248</v>
      </c>
      <c r="F203" t="inlineStr">
        <is>
          <t>ÖSTERGÖTLANDS LÄN</t>
        </is>
      </c>
      <c r="G203" t="inlineStr">
        <is>
          <t>ÖDESHÖG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46002</v>
      </c>
      <c r="E204" s="1" t="n">
        <v>46248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46248</v>
      </c>
      <c r="F205" t="inlineStr">
        <is>
          <t>ÖSTERGÖTLANDS LÄN</t>
        </is>
      </c>
      <c r="G205" t="inlineStr">
        <is>
          <t>ÖDESHÖG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46248</v>
      </c>
      <c r="F206" t="inlineStr">
        <is>
          <t>ÖSTERGÖTLANDS LÄN</t>
        </is>
      </c>
      <c r="G206" t="inlineStr">
        <is>
          <t>ÖDESHÖG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46248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46248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46002</v>
      </c>
      <c r="E209" s="1" t="n">
        <v>46248</v>
      </c>
      <c r="F209" t="inlineStr">
        <is>
          <t>ÖSTERGÖTLANDS LÄN</t>
        </is>
      </c>
      <c r="G209" t="inlineStr">
        <is>
          <t>ÖDESHÖG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46199</v>
      </c>
      <c r="E210" s="1" t="n">
        <v>46248</v>
      </c>
      <c r="F210" t="inlineStr">
        <is>
          <t>ÖSTERGÖTLANDS LÄN</t>
        </is>
      </c>
      <c r="G210" t="inlineStr">
        <is>
          <t>ÖDESHÖG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46248</v>
      </c>
      <c r="F211" t="inlineStr">
        <is>
          <t>ÖSTERGÖTLANDS LÄN</t>
        </is>
      </c>
      <c r="G211" t="inlineStr">
        <is>
          <t>ÖDESHÖG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46248</v>
      </c>
      <c r="F212" t="inlineStr">
        <is>
          <t>ÖSTERGÖTLANDS LÄN</t>
        </is>
      </c>
      <c r="G212" t="inlineStr">
        <is>
          <t>ÖDESHÖG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46008</v>
      </c>
      <c r="E213" s="1" t="n">
        <v>46248</v>
      </c>
      <c r="F213" t="inlineStr">
        <is>
          <t>ÖSTERGÖTLANDS LÄN</t>
        </is>
      </c>
      <c r="G213" t="inlineStr">
        <is>
          <t>ÖDESHÖG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64010-2025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46021</v>
      </c>
      <c r="E214" s="1" t="n">
        <v>46248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15.4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46248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46248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46248</v>
      </c>
      <c r="F217" t="inlineStr">
        <is>
          <t>ÖSTERGÖTLANDS LÄN</t>
        </is>
      </c>
      <c r="G217" t="inlineStr">
        <is>
          <t>ÖDESHÖG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46248</v>
      </c>
      <c r="F218" t="inlineStr">
        <is>
          <t>ÖSTERGÖTLANDS LÄN</t>
        </is>
      </c>
      <c r="G218" t="inlineStr">
        <is>
          <t>ÖDESHÖG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46248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46248</v>
      </c>
      <c r="F220" t="inlineStr">
        <is>
          <t>ÖSTERGÖTLANDS LÄN</t>
        </is>
      </c>
      <c r="G220" t="inlineStr">
        <is>
          <t>ÖDESHÖG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46248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46248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46248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46248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46248</v>
      </c>
      <c r="F225" t="inlineStr">
        <is>
          <t>ÖSTERGÖTLANDS LÄN</t>
        </is>
      </c>
      <c r="G225" t="inlineStr">
        <is>
          <t>ÖDESHÖG</t>
        </is>
      </c>
      <c r="I225" t="n">
        <v>13.4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46248</v>
      </c>
      <c r="F226" t="inlineStr">
        <is>
          <t>ÖSTERGÖTLANDS LÄN</t>
        </is>
      </c>
      <c r="G226" t="inlineStr">
        <is>
          <t>ÖDESHÖG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46248</v>
      </c>
      <c r="F227" t="inlineStr">
        <is>
          <t>ÖSTERGÖTLANDS LÄN</t>
        </is>
      </c>
      <c r="G227" t="inlineStr">
        <is>
          <t>ÖDESHÖG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46248</v>
      </c>
      <c r="F228" t="inlineStr">
        <is>
          <t>ÖSTERGÖTLANDS LÄN</t>
        </is>
      </c>
      <c r="G228" t="inlineStr">
        <is>
          <t>ÖDESHÖG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46248</v>
      </c>
      <c r="F229" t="inlineStr">
        <is>
          <t>ÖSTERGÖTLANDS LÄN</t>
        </is>
      </c>
      <c r="G229" t="inlineStr">
        <is>
          <t>ÖDESHÖG</t>
        </is>
      </c>
      <c r="H229" t="inlineStr">
        <is>
          <t>Allmännings- och besparingsskogar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46248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46248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46248</v>
      </c>
      <c r="F232" t="inlineStr">
        <is>
          <t>ÖSTERGÖTLANDS LÄN</t>
        </is>
      </c>
      <c r="G232" t="inlineStr">
        <is>
          <t>ÖDESHÖG</t>
        </is>
      </c>
      <c r="H232" t="inlineStr">
        <is>
          <t>Allmännings- och besparingsskogar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16259-2026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46109</v>
      </c>
      <c r="E233" s="1" t="n">
        <v>46248</v>
      </c>
      <c r="F233" t="inlineStr">
        <is>
          <t>ÖSTERGÖTLANDS LÄN</t>
        </is>
      </c>
      <c r="G233" t="inlineStr">
        <is>
          <t>ÖDESHÖG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46109</v>
      </c>
      <c r="E234" s="1" t="n">
        <v>46248</v>
      </c>
      <c r="F234" t="inlineStr">
        <is>
          <t>ÖSTERGÖTLANDS LÄN</t>
        </is>
      </c>
      <c r="G234" t="inlineStr">
        <is>
          <t>ÖDESHÖG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46248</v>
      </c>
      <c r="F235" t="inlineStr">
        <is>
          <t>ÖSTERGÖTLANDS LÄN</t>
        </is>
      </c>
      <c r="G235" t="inlineStr">
        <is>
          <t>ÖDESHÖG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45163</v>
      </c>
      <c r="E236" s="1" t="n">
        <v>46248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46248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46248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2026-08-14T01:56:36Z</dcterms:created>
  <dcterms:modified xmlns:dcterms="http://purl.org/dc/terms/" xmlns:xsi="http://www.w3.org/2001/XMLSchema-instance" xsi:type="dcterms:W3CDTF">2026-08-14T01:56:36Z</dcterms:modified>
</cp:coreProperties>
</file>