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46251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46251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35443-2022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44798</v>
      </c>
      <c r="E5" s="1" t="n">
        <v>46251</v>
      </c>
      <c r="F5" t="inlineStr">
        <is>
          <t>ÖSTERGÖTLANDS LÄN</t>
        </is>
      </c>
      <c r="G5" t="inlineStr">
        <is>
          <t>ÖDESHÖG</t>
        </is>
      </c>
      <c r="I5" t="n">
        <v>4.7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Axveronika
Bivråk</t>
        </is>
      </c>
      <c r="W5">
        <f>HYPERLINK("https://klasma.github.io/Logging_0509/artfynd/A 35443-2022 artfynd.xlsx", "A 35443-2022")</f>
        <v/>
      </c>
      <c r="X5">
        <f>HYPERLINK("https://klasma.github.io/Logging_0509/kartor/A 35443-2022 karta.png", "A 35443-2022")</f>
        <v/>
      </c>
      <c r="Y5">
        <f>HYPERLINK("https://klasma.github.io/Logging_0509/kartor_geotiff/A 35443-2022 georefererad karta.tif", "A 35443-2022")</f>
        <v/>
      </c>
      <c r="AA5">
        <f>HYPERLINK("https://klasma.github.io/Logging_0509/klagomål/A 35443-2022 FSC-klagomål.docx", "A 35443-2022")</f>
        <v/>
      </c>
      <c r="AB5">
        <f>HYPERLINK("https://klasma.github.io/Logging_0509/klagomålsmail/A 35443-2022 FSC-klagomål mail.docx", "A 35443-2022")</f>
        <v/>
      </c>
      <c r="AC5">
        <f>HYPERLINK("https://klasma.github.io/Logging_0509/tillsyn/A 35443-2022 tillsynsbegäran.docx", "A 35443-2022")</f>
        <v/>
      </c>
      <c r="AD5">
        <f>HYPERLINK("https://klasma.github.io/Logging_0509/tillsynsmail/A 35443-2022 tillsynsbegäran mail.docx", "A 35443-2022")</f>
        <v/>
      </c>
      <c r="AE5">
        <f>HYPERLINK("https://klasma.github.io/Logging_0509/fåglar/A 35443-2022 prioriterade fågelarter.docx", "A 35443-2022")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46251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46251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46251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15437-2025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45747</v>
      </c>
      <c r="E9" s="1" t="n">
        <v>46251</v>
      </c>
      <c r="F9" t="inlineStr">
        <is>
          <t>ÖSTERGÖTLANDS LÄN</t>
        </is>
      </c>
      <c r="G9" t="inlineStr">
        <is>
          <t>ÖDESHÖG</t>
        </is>
      </c>
      <c r="H9" t="inlineStr">
        <is>
          <t>Allmännings- och besparingsskogar</t>
        </is>
      </c>
      <c r="I9" t="n">
        <v>11.9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HYPERLINK("https://klasma.github.io/Logging_0509/artfynd/A 15437-2025 artfynd.xlsx", "A 15437-2025")</f>
        <v/>
      </c>
      <c r="X9">
        <f>HYPERLINK("https://klasma.github.io/Logging_0509/kartor/A 15437-2025 karta.png", "A 15437-2025")</f>
        <v/>
      </c>
      <c r="Y9">
        <f>HYPERLINK("https://klasma.github.io/Logging_0509/kartor_geotiff/A 15437-2025 georefererad karta.tif", "A 15437-2025")</f>
        <v/>
      </c>
      <c r="Z9">
        <f>HYPERLINK("https://klasma.github.io/Logging_0509/knärot/A 15437-2025 karta knärot.png", "A 15437-2025")</f>
        <v/>
      </c>
      <c r="AA9">
        <f>HYPERLINK("https://klasma.github.io/Logging_0509/klagomål/A 15437-2025 FSC-klagomål.docx", "A 15437-2025")</f>
        <v/>
      </c>
      <c r="AB9">
        <f>HYPERLINK("https://klasma.github.io/Logging_0509/klagomålsmail/A 15437-2025 FSC-klagomål mail.docx", "A 15437-2025")</f>
        <v/>
      </c>
      <c r="AC9">
        <f>HYPERLINK("https://klasma.github.io/Logging_0509/tillsyn/A 15437-2025 tillsynsbegäran.docx", "A 15437-2025")</f>
        <v/>
      </c>
      <c r="AD9">
        <f>HYPERLINK("https://klasma.github.io/Logging_0509/tillsynsmail/A 15437-2025 tillsynsbegäran mail.docx", "A 15437-2025")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46251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46251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56637-2023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45243</v>
      </c>
      <c r="E12" s="1" t="n">
        <v>46251</v>
      </c>
      <c r="F12" t="inlineStr">
        <is>
          <t>ÖSTERGÖTLANDS LÄN</t>
        </is>
      </c>
      <c r="G12" t="inlineStr">
        <is>
          <t>ÖDESHÖG</t>
        </is>
      </c>
      <c r="I12" t="n">
        <v>2.9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56637-2023 artfynd.xlsx", "A 56637-2023")</f>
        <v/>
      </c>
      <c r="X12">
        <f>HYPERLINK("https://klasma.github.io/Logging_0509/kartor/A 56637-2023 karta.png", "A 56637-2023")</f>
        <v/>
      </c>
      <c r="Y12">
        <f>HYPERLINK("https://klasma.github.io/Logging_0509/kartor_geotiff/A 56637-2023 georefererad karta.tif", "A 56637-2023")</f>
        <v/>
      </c>
      <c r="AA12">
        <f>HYPERLINK("https://klasma.github.io/Logging_0509/klagomål/A 56637-2023 FSC-klagomål.docx", "A 56637-2023")</f>
        <v/>
      </c>
      <c r="AB12">
        <f>HYPERLINK("https://klasma.github.io/Logging_0509/klagomålsmail/A 56637-2023 FSC-klagomål mail.docx", "A 56637-2023")</f>
        <v/>
      </c>
      <c r="AC12">
        <f>HYPERLINK("https://klasma.github.io/Logging_0509/tillsyn/A 56637-2023 tillsynsbegäran.docx", "A 56637-2023")</f>
        <v/>
      </c>
      <c r="AD12">
        <f>HYPERLINK("https://klasma.github.io/Logging_0509/tillsynsmail/A 56637-2023 tillsynsbegäran mail.docx", "A 56637-2023")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46251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46251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46251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46251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46251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32713-2024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45516</v>
      </c>
      <c r="E18" s="1" t="n">
        <v>46251</v>
      </c>
      <c r="F18" t="inlineStr">
        <is>
          <t>ÖSTERGÖTLANDS LÄN</t>
        </is>
      </c>
      <c r="G18" t="inlineStr">
        <is>
          <t>ÖDESHÖG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Kristinspindling</t>
        </is>
      </c>
      <c r="W18">
        <f>HYPERLINK("https://klasma.github.io/Logging_0509/artfynd/A 32713-2024 artfynd.xlsx", "A 32713-2024")</f>
        <v/>
      </c>
      <c r="X18">
        <f>HYPERLINK("https://klasma.github.io/Logging_0509/kartor/A 32713-2024 karta.png", "A 32713-2024")</f>
        <v/>
      </c>
      <c r="Y18">
        <f>HYPERLINK("https://klasma.github.io/Logging_0509/kartor_geotiff/A 32713-2024 georefererad karta.tif", "A 32713-2024")</f>
        <v/>
      </c>
      <c r="AA18">
        <f>HYPERLINK("https://klasma.github.io/Logging_0509/klagomål/A 32713-2024 FSC-klagomål.docx", "A 32713-2024")</f>
        <v/>
      </c>
      <c r="AB18">
        <f>HYPERLINK("https://klasma.github.io/Logging_0509/klagomålsmail/A 32713-2024 FSC-klagomål mail.docx", "A 32713-2024")</f>
        <v/>
      </c>
      <c r="AC18">
        <f>HYPERLINK("https://klasma.github.io/Logging_0509/tillsyn/A 32713-2024 tillsynsbegäran.docx", "A 32713-2024")</f>
        <v/>
      </c>
      <c r="AD18">
        <f>HYPERLINK("https://klasma.github.io/Logging_0509/tillsynsmail/A 32713-2024 tillsynsbegäran mail.docx", "A 32713-2024")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46251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46251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46251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46251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46251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46251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46251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46251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46251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46251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46251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46251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46251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44698</v>
      </c>
      <c r="E32" s="1" t="n">
        <v>46251</v>
      </c>
      <c r="F32" t="inlineStr">
        <is>
          <t>ÖSTERGÖTLANDS LÄN</t>
        </is>
      </c>
      <c r="G32" t="inlineStr">
        <is>
          <t>ÖDESHÖG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20612-2022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44700</v>
      </c>
      <c r="E33" s="1" t="n">
        <v>46251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44756</v>
      </c>
      <c r="E34" s="1" t="n">
        <v>46251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46251</v>
      </c>
      <c r="F35" t="inlineStr">
        <is>
          <t>ÖSTERGÖTLANDS LÄN</t>
        </is>
      </c>
      <c r="G35" t="inlineStr">
        <is>
          <t>ÖDESHÖG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52469-2023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46251</v>
      </c>
      <c r="F36" t="inlineStr">
        <is>
          <t>ÖSTERGÖTLANDS LÄN</t>
        </is>
      </c>
      <c r="G36" t="inlineStr">
        <is>
          <t>ÖDESHÖG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8063-2025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46251</v>
      </c>
      <c r="F37" t="inlineStr">
        <is>
          <t>ÖSTERGÖTLANDS LÄN</t>
        </is>
      </c>
      <c r="G37" t="inlineStr">
        <is>
          <t>ÖDESHÖG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44796</v>
      </c>
      <c r="E38" s="1" t="n">
        <v>46251</v>
      </c>
      <c r="F38" t="inlineStr">
        <is>
          <t>ÖSTERGÖTLANDS LÄN</t>
        </is>
      </c>
      <c r="G38" t="inlineStr">
        <is>
          <t>ÖDESHÖG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46251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46251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37843-2023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45160</v>
      </c>
      <c r="E41" s="1" t="n">
        <v>46251</v>
      </c>
      <c r="F41" t="inlineStr">
        <is>
          <t>ÖSTERGÖTLANDS LÄN</t>
        </is>
      </c>
      <c r="G41" t="inlineStr">
        <is>
          <t>ÖDESHÖG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36114-2022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46251</v>
      </c>
      <c r="F42" t="inlineStr">
        <is>
          <t>ÖSTERGÖTLANDS LÄN</t>
        </is>
      </c>
      <c r="G42" t="inlineStr">
        <is>
          <t>ÖDESHÖG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45203</v>
      </c>
      <c r="E43" s="1" t="n">
        <v>46251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45491</v>
      </c>
      <c r="E44" s="1" t="n">
        <v>46251</v>
      </c>
      <c r="F44" t="inlineStr">
        <is>
          <t>ÖSTERGÖTLANDS LÄN</t>
        </is>
      </c>
      <c r="G44" t="inlineStr">
        <is>
          <t>ÖDESHÖG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46251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54226-2021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44470</v>
      </c>
      <c r="E46" s="1" t="n">
        <v>46251</v>
      </c>
      <c r="F46" t="inlineStr">
        <is>
          <t>ÖSTERGÖTLANDS LÄN</t>
        </is>
      </c>
      <c r="G46" t="inlineStr">
        <is>
          <t>ÖDESHÖG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48325-2022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44858</v>
      </c>
      <c r="E47" s="1" t="n">
        <v>46251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47993-2024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46251</v>
      </c>
      <c r="F48" t="inlineStr">
        <is>
          <t>ÖSTERGÖTLANDS LÄN</t>
        </is>
      </c>
      <c r="G48" t="inlineStr">
        <is>
          <t>ÖDESHÖG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41730-2025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45902</v>
      </c>
      <c r="E49" s="1" t="n">
        <v>46251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46251</v>
      </c>
      <c r="F50" t="inlineStr">
        <is>
          <t>ÖSTERGÖTLANDS LÄN</t>
        </is>
      </c>
      <c r="G50" t="inlineStr">
        <is>
          <t>ÖDESHÖG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44512</v>
      </c>
      <c r="E51" s="1" t="n">
        <v>46251</v>
      </c>
      <c r="F51" t="inlineStr">
        <is>
          <t>ÖSTERGÖTLANDS LÄN</t>
        </is>
      </c>
      <c r="G51" t="inlineStr">
        <is>
          <t>ÖDESHÖG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46251</v>
      </c>
      <c r="F52" t="inlineStr">
        <is>
          <t>ÖSTERGÖTLANDS LÄN</t>
        </is>
      </c>
      <c r="G52" t="inlineStr">
        <is>
          <t>ÖDESHÖG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45342</v>
      </c>
      <c r="E53" s="1" t="n">
        <v>46251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8.300000000000001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46251</v>
      </c>
      <c r="F54" t="inlineStr">
        <is>
          <t>ÖSTERGÖTLANDS LÄN</t>
        </is>
      </c>
      <c r="G54" t="inlineStr">
        <is>
          <t>ÖDESHÖG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46251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44936</v>
      </c>
      <c r="E56" s="1" t="n">
        <v>46251</v>
      </c>
      <c r="F56" t="inlineStr">
        <is>
          <t>ÖSTERGÖTLANDS LÄN</t>
        </is>
      </c>
      <c r="G56" t="inlineStr">
        <is>
          <t>ÖDESHÖG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46251</v>
      </c>
      <c r="F57" t="inlineStr">
        <is>
          <t>ÖSTERGÖTLANDS LÄN</t>
        </is>
      </c>
      <c r="G57" t="inlineStr">
        <is>
          <t>ÖDESHÖG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45405</v>
      </c>
      <c r="E58" s="1" t="n">
        <v>46251</v>
      </c>
      <c r="F58" t="inlineStr">
        <is>
          <t>ÖSTERGÖTLANDS LÄN</t>
        </is>
      </c>
      <c r="G58" t="inlineStr">
        <is>
          <t>ÖDESHÖG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46251</v>
      </c>
      <c r="F59" t="inlineStr">
        <is>
          <t>ÖSTERGÖTLANDS LÄN</t>
        </is>
      </c>
      <c r="G59" t="inlineStr">
        <is>
          <t>ÖDESHÖG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46251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46251</v>
      </c>
      <c r="F61" t="inlineStr">
        <is>
          <t>ÖSTERGÖTLANDS LÄN</t>
        </is>
      </c>
      <c r="G61" t="inlineStr">
        <is>
          <t>ÖDESHÖG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46251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3149-2024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46251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46251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46251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46251</v>
      </c>
      <c r="F66" t="inlineStr">
        <is>
          <t>ÖSTERGÖTLANDS LÄN</t>
        </is>
      </c>
      <c r="G66" t="inlineStr">
        <is>
          <t>ÖDESHÖG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46251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15907-2024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45405</v>
      </c>
      <c r="E68" s="1" t="n">
        <v>46251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15915-2024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45405</v>
      </c>
      <c r="E69" s="1" t="n">
        <v>46251</v>
      </c>
      <c r="F69" t="inlineStr">
        <is>
          <t>ÖSTERGÖTLANDS LÄN</t>
        </is>
      </c>
      <c r="G69" t="inlineStr">
        <is>
          <t>ÖDESHÖG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46251</v>
      </c>
      <c r="F70" t="inlineStr">
        <is>
          <t>ÖSTERGÖTLANDS LÄN</t>
        </is>
      </c>
      <c r="G70" t="inlineStr">
        <is>
          <t>ÖDESHÖG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44938</v>
      </c>
      <c r="E71" s="1" t="n">
        <v>46251</v>
      </c>
      <c r="F71" t="inlineStr">
        <is>
          <t>ÖSTERGÖTLANDS LÄN</t>
        </is>
      </c>
      <c r="G71" t="inlineStr">
        <is>
          <t>ÖDESHÖG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34961-2022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46251</v>
      </c>
      <c r="F72" t="inlineStr">
        <is>
          <t>ÖSTERGÖTLANDS LÄN</t>
        </is>
      </c>
      <c r="G72" t="inlineStr">
        <is>
          <t>ÖDESHÖG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46251</v>
      </c>
      <c r="F73" t="inlineStr">
        <is>
          <t>ÖSTERGÖTLANDS LÄN</t>
        </is>
      </c>
      <c r="G73" t="inlineStr">
        <is>
          <t>ÖDESHÖG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45936</v>
      </c>
      <c r="E74" s="1" t="n">
        <v>46251</v>
      </c>
      <c r="F74" t="inlineStr">
        <is>
          <t>ÖSTERGÖTLANDS LÄN</t>
        </is>
      </c>
      <c r="G74" t="inlineStr">
        <is>
          <t>ÖDESHÖG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45048</v>
      </c>
      <c r="E75" s="1" t="n">
        <v>46251</v>
      </c>
      <c r="F75" t="inlineStr">
        <is>
          <t>ÖSTERGÖTLANDS LÄN</t>
        </is>
      </c>
      <c r="G75" t="inlineStr">
        <is>
          <t>ÖDESHÖG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45944</v>
      </c>
      <c r="E76" s="1" t="n">
        <v>46251</v>
      </c>
      <c r="F76" t="inlineStr">
        <is>
          <t>ÖSTERGÖTLANDS LÄN</t>
        </is>
      </c>
      <c r="G76" t="inlineStr">
        <is>
          <t>ÖDESHÖG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45416</v>
      </c>
      <c r="E77" s="1" t="n">
        <v>46251</v>
      </c>
      <c r="F77" t="inlineStr">
        <is>
          <t>ÖSTERGÖTLANDS LÄN</t>
        </is>
      </c>
      <c r="G77" t="inlineStr">
        <is>
          <t>ÖDESHÖG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46251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45944</v>
      </c>
      <c r="E79" s="1" t="n">
        <v>46251</v>
      </c>
      <c r="F79" t="inlineStr">
        <is>
          <t>ÖSTERGÖTLANDS LÄN</t>
        </is>
      </c>
      <c r="G79" t="inlineStr">
        <is>
          <t>ÖDESHÖG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46092</v>
      </c>
      <c r="E80" s="1" t="n">
        <v>46251</v>
      </c>
      <c r="F80" t="inlineStr">
        <is>
          <t>ÖSTERGÖTLANDS LÄN</t>
        </is>
      </c>
      <c r="G80" t="inlineStr">
        <is>
          <t>ÖDESHÖG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45331</v>
      </c>
      <c r="E81" s="1" t="n">
        <v>46251</v>
      </c>
      <c r="F81" t="inlineStr">
        <is>
          <t>ÖSTERGÖTLANDS LÄN</t>
        </is>
      </c>
      <c r="G81" t="inlineStr">
        <is>
          <t>ÖDESHÖG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46092</v>
      </c>
      <c r="E82" s="1" t="n">
        <v>46251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45014</v>
      </c>
      <c r="E83" s="1" t="n">
        <v>46251</v>
      </c>
      <c r="F83" t="inlineStr">
        <is>
          <t>ÖSTERGÖTLANDS LÄN</t>
        </is>
      </c>
      <c r="G83" t="inlineStr">
        <is>
          <t>ÖDESHÖG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45947</v>
      </c>
      <c r="E84" s="1" t="n">
        <v>46251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46251</v>
      </c>
      <c r="F85" t="inlineStr">
        <is>
          <t>ÖSTERGÖTLANDS LÄN</t>
        </is>
      </c>
      <c r="G85" t="inlineStr">
        <is>
          <t>ÖDESHÖG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46101</v>
      </c>
      <c r="E86" s="1" t="n">
        <v>46251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46251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45009</v>
      </c>
      <c r="E88" s="1" t="n">
        <v>46251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46251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8256-2023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44974</v>
      </c>
      <c r="E90" s="1" t="n">
        <v>46251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45412</v>
      </c>
      <c r="E91" s="1" t="n">
        <v>46251</v>
      </c>
      <c r="F91" t="inlineStr">
        <is>
          <t>ÖSTERGÖTLANDS LÄN</t>
        </is>
      </c>
      <c r="G91" t="inlineStr">
        <is>
          <t>ÖDESHÖG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46251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46251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16414-2026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46251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46251</v>
      </c>
      <c r="F95" t="inlineStr">
        <is>
          <t>ÖSTERGÖTLANDS LÄN</t>
        </is>
      </c>
      <c r="G95" t="inlineStr">
        <is>
          <t>ÖDESHÖG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45533</v>
      </c>
      <c r="E96" s="1" t="n">
        <v>46251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46251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45776</v>
      </c>
      <c r="E98" s="1" t="n">
        <v>46251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14736-2024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45397</v>
      </c>
      <c r="E99" s="1" t="n">
        <v>46251</v>
      </c>
      <c r="F99" t="inlineStr">
        <is>
          <t>ÖSTERGÖTLANDS LÄN</t>
        </is>
      </c>
      <c r="G99" t="inlineStr">
        <is>
          <t>ÖDESHÖG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46251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46251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46251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46251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45009</v>
      </c>
      <c r="E104" s="1" t="n">
        <v>46251</v>
      </c>
      <c r="F104" t="inlineStr">
        <is>
          <t>ÖSTERGÖTLANDS LÄN</t>
        </is>
      </c>
      <c r="G104" t="inlineStr">
        <is>
          <t>ÖDESHÖG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11193-2023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44992</v>
      </c>
      <c r="E105" s="1" t="n">
        <v>46251</v>
      </c>
      <c r="F105" t="inlineStr">
        <is>
          <t>ÖSTERGÖTLANDS LÄN</t>
        </is>
      </c>
      <c r="G105" t="inlineStr">
        <is>
          <t>ÖDESHÖG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45009</v>
      </c>
      <c r="E106" s="1" t="n">
        <v>46251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46251</v>
      </c>
      <c r="F107" t="inlineStr">
        <is>
          <t>ÖSTERGÖTLANDS LÄN</t>
        </is>
      </c>
      <c r="G107" t="inlineStr">
        <is>
          <t>ÖDESHÖG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44994</v>
      </c>
      <c r="E108" s="1" t="n">
        <v>46251</v>
      </c>
      <c r="F108" t="inlineStr">
        <is>
          <t>ÖSTERGÖTLANDS LÄN</t>
        </is>
      </c>
      <c r="G108" t="inlineStr">
        <is>
          <t>ÖDESHÖG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16259-2026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46251</v>
      </c>
      <c r="F109" t="inlineStr">
        <is>
          <t>ÖSTERGÖTLANDS LÄN</t>
        </is>
      </c>
      <c r="G109" t="inlineStr">
        <is>
          <t>ÖDESHÖG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46109</v>
      </c>
      <c r="E110" s="1" t="n">
        <v>46251</v>
      </c>
      <c r="F110" t="inlineStr">
        <is>
          <t>ÖSTERGÖTLANDS LÄN</t>
        </is>
      </c>
      <c r="G110" t="inlineStr">
        <is>
          <t>ÖDESHÖG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46251</v>
      </c>
      <c r="F111" t="inlineStr">
        <is>
          <t>ÖSTERGÖTLANDS LÄN</t>
        </is>
      </c>
      <c r="G111" t="inlineStr">
        <is>
          <t>ÖDESHÖG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46251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46251</v>
      </c>
      <c r="F113" t="inlineStr">
        <is>
          <t>ÖSTERGÖTLANDS LÄN</t>
        </is>
      </c>
      <c r="G113" t="inlineStr">
        <is>
          <t>ÖDESHÖG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46251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46251</v>
      </c>
      <c r="F115" t="inlineStr">
        <is>
          <t>ÖSTERGÖTLANDS LÄN</t>
        </is>
      </c>
      <c r="G115" t="inlineStr">
        <is>
          <t>ÖDESHÖG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46251</v>
      </c>
      <c r="F116" t="inlineStr">
        <is>
          <t>ÖSTERGÖTLANDS LÄN</t>
        </is>
      </c>
      <c r="G116" t="inlineStr">
        <is>
          <t>ÖDESHÖG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46122</v>
      </c>
      <c r="E117" s="1" t="n">
        <v>46251</v>
      </c>
      <c r="F117" t="inlineStr">
        <is>
          <t>ÖSTERGÖTLANDS LÄN</t>
        </is>
      </c>
      <c r="G117" t="inlineStr">
        <is>
          <t>ÖDESHÖG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46251</v>
      </c>
      <c r="F118" t="inlineStr">
        <is>
          <t>ÖSTERGÖTLANDS LÄN</t>
        </is>
      </c>
      <c r="G118" t="inlineStr">
        <is>
          <t>ÖDESHÖG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46251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46251</v>
      </c>
      <c r="F120" t="inlineStr">
        <is>
          <t>ÖSTERGÖTLANDS LÄN</t>
        </is>
      </c>
      <c r="G120" t="inlineStr">
        <is>
          <t>ÖDESHÖG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46251</v>
      </c>
      <c r="F121" t="inlineStr">
        <is>
          <t>ÖSTERGÖTLANDS LÄN</t>
        </is>
      </c>
      <c r="G121" t="inlineStr">
        <is>
          <t>ÖDESHÖG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46251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62801-2025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46251</v>
      </c>
      <c r="F123" t="inlineStr">
        <is>
          <t>ÖSTERGÖTLANDS LÄN</t>
        </is>
      </c>
      <c r="G123" t="inlineStr">
        <is>
          <t>ÖDESHÖG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46251</v>
      </c>
      <c r="F124" t="inlineStr">
        <is>
          <t>ÖSTERGÖTLANDS LÄN</t>
        </is>
      </c>
      <c r="G124" t="inlineStr">
        <is>
          <t>ÖDESHÖG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46251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46251</v>
      </c>
      <c r="F126" t="inlineStr">
        <is>
          <t>ÖSTERGÖTLANDS LÄN</t>
        </is>
      </c>
      <c r="G126" t="inlineStr">
        <is>
          <t>ÖDESHÖG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14993-2023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46251</v>
      </c>
      <c r="F127" t="inlineStr">
        <is>
          <t>ÖSTERGÖTLANDS LÄN</t>
        </is>
      </c>
      <c r="G127" t="inlineStr">
        <is>
          <t>ÖDESHÖG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46251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46251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46251</v>
      </c>
      <c r="F130" t="inlineStr">
        <is>
          <t>ÖSTERGÖTLANDS LÄN</t>
        </is>
      </c>
      <c r="G130" t="inlineStr">
        <is>
          <t>ÖDESHÖG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46251</v>
      </c>
      <c r="F131" t="inlineStr">
        <is>
          <t>ÖSTERGÖTLANDS LÄN</t>
        </is>
      </c>
      <c r="G131" t="inlineStr">
        <is>
          <t>ÖDESHÖG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46251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45149</v>
      </c>
      <c r="E133" s="1" t="n">
        <v>46251</v>
      </c>
      <c r="F133" t="inlineStr">
        <is>
          <t>ÖSTERGÖTLANDS LÄN</t>
        </is>
      </c>
      <c r="G133" t="inlineStr">
        <is>
          <t>ÖDESHÖG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46251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46251</v>
      </c>
      <c r="F135" t="inlineStr">
        <is>
          <t>ÖSTERGÖTLANDS LÄN</t>
        </is>
      </c>
      <c r="G135" t="inlineStr">
        <is>
          <t>ÖDESHÖG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46251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46251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46251</v>
      </c>
      <c r="F138" t="inlineStr">
        <is>
          <t>ÖSTERGÖTLANDS LÄN</t>
        </is>
      </c>
      <c r="G138" t="inlineStr">
        <is>
          <t>ÖDESHÖG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46251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46251</v>
      </c>
      <c r="F140" t="inlineStr">
        <is>
          <t>ÖSTERGÖTLANDS LÄN</t>
        </is>
      </c>
      <c r="G140" t="inlineStr">
        <is>
          <t>ÖDESHÖG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46251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46251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46251</v>
      </c>
      <c r="F143" t="inlineStr">
        <is>
          <t>ÖSTERGÖTLANDS LÄN</t>
        </is>
      </c>
      <c r="G143" t="inlineStr">
        <is>
          <t>ÖDESHÖG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46251</v>
      </c>
      <c r="F144" t="inlineStr">
        <is>
          <t>ÖSTERGÖTLANDS LÄN</t>
        </is>
      </c>
      <c r="G144" t="inlineStr">
        <is>
          <t>ÖDESHÖG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46251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44709</v>
      </c>
      <c r="E146" s="1" t="n">
        <v>46251</v>
      </c>
      <c r="F146" t="inlineStr">
        <is>
          <t>ÖSTERGÖTLANDS LÄN</t>
        </is>
      </c>
      <c r="G146" t="inlineStr">
        <is>
          <t>ÖDESHÖG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72603-2021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44546</v>
      </c>
      <c r="E147" s="1" t="n">
        <v>46251</v>
      </c>
      <c r="F147" t="inlineStr">
        <is>
          <t>ÖSTERGÖTLANDS LÄN</t>
        </is>
      </c>
      <c r="G147" t="inlineStr">
        <is>
          <t>ÖDESHÖG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46251</v>
      </c>
      <c r="F148" t="inlineStr">
        <is>
          <t>ÖSTERGÖTLANDS LÄN</t>
        </is>
      </c>
      <c r="G148" t="inlineStr">
        <is>
          <t>ÖDESHÖG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46251</v>
      </c>
      <c r="F149" t="inlineStr">
        <is>
          <t>ÖSTERGÖTLANDS LÄN</t>
        </is>
      </c>
      <c r="G149" t="inlineStr">
        <is>
          <t>ÖDESHÖG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46251</v>
      </c>
      <c r="F150" t="inlineStr">
        <is>
          <t>ÖSTERGÖTLANDS LÄN</t>
        </is>
      </c>
      <c r="G150" t="inlineStr">
        <is>
          <t>ÖDESHÖG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46251</v>
      </c>
      <c r="F151" t="inlineStr">
        <is>
          <t>ÖSTERGÖTLANDS LÄN</t>
        </is>
      </c>
      <c r="G151" t="inlineStr">
        <is>
          <t>ÖDESHÖG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46251</v>
      </c>
      <c r="F152" t="inlineStr">
        <is>
          <t>ÖSTERGÖTLANDS LÄN</t>
        </is>
      </c>
      <c r="G152" t="inlineStr">
        <is>
          <t>ÖDESHÖG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46251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46251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18.6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46251</v>
      </c>
      <c r="F155" t="inlineStr">
        <is>
          <t>ÖSTERGÖTLANDS LÄN</t>
        </is>
      </c>
      <c r="G155" t="inlineStr">
        <is>
          <t>ÖDESHÖG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45153</v>
      </c>
      <c r="E156" s="1" t="n">
        <v>46251</v>
      </c>
      <c r="F156" t="inlineStr">
        <is>
          <t>ÖSTERGÖTLANDS LÄN</t>
        </is>
      </c>
      <c r="G156" t="inlineStr">
        <is>
          <t>ÖDESHÖG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46251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45084</v>
      </c>
      <c r="E158" s="1" t="n">
        <v>46251</v>
      </c>
      <c r="F158" t="inlineStr">
        <is>
          <t>ÖSTERGÖTLANDS LÄN</t>
        </is>
      </c>
      <c r="G158" t="inlineStr">
        <is>
          <t>ÖDESHÖG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46251</v>
      </c>
      <c r="F159" t="inlineStr">
        <is>
          <t>ÖSTERGÖTLANDS LÄN</t>
        </is>
      </c>
      <c r="G159" t="inlineStr">
        <is>
          <t>ÖDESHÖG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46251</v>
      </c>
      <c r="F160" t="inlineStr">
        <is>
          <t>ÖSTERGÖTLANDS LÄN</t>
        </is>
      </c>
      <c r="G160" t="inlineStr">
        <is>
          <t>ÖDESHÖG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46251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45113</v>
      </c>
      <c r="E162" s="1" t="n">
        <v>46251</v>
      </c>
      <c r="F162" t="inlineStr">
        <is>
          <t>ÖSTERGÖTLANDS LÄN</t>
        </is>
      </c>
      <c r="G162" t="inlineStr">
        <is>
          <t>ÖDESHÖG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45027</v>
      </c>
      <c r="E163" s="1" t="n">
        <v>46251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46251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46251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46251</v>
      </c>
      <c r="F166" t="inlineStr">
        <is>
          <t>ÖSTERGÖTLANDS LÄN</t>
        </is>
      </c>
      <c r="G166" t="inlineStr">
        <is>
          <t>ÖDESHÖG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46251</v>
      </c>
      <c r="F167" t="inlineStr">
        <is>
          <t>ÖSTERGÖTLANDS LÄN</t>
        </is>
      </c>
      <c r="G167" t="inlineStr">
        <is>
          <t>ÖDESHÖG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46251</v>
      </c>
      <c r="F168" t="inlineStr">
        <is>
          <t>ÖSTERGÖTLANDS LÄN</t>
        </is>
      </c>
      <c r="G168" t="inlineStr">
        <is>
          <t>ÖDESHÖG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46251</v>
      </c>
      <c r="F169" t="inlineStr">
        <is>
          <t>ÖSTERGÖTLANDS LÄN</t>
        </is>
      </c>
      <c r="G169" t="inlineStr">
        <is>
          <t>ÖDESHÖG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46251</v>
      </c>
      <c r="F170" t="inlineStr">
        <is>
          <t>ÖSTERGÖTLANDS LÄN</t>
        </is>
      </c>
      <c r="G170" t="inlineStr">
        <is>
          <t>ÖDESHÖG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46251</v>
      </c>
      <c r="F171" t="inlineStr">
        <is>
          <t>ÖSTERGÖTLANDS LÄN</t>
        </is>
      </c>
      <c r="G171" t="inlineStr">
        <is>
          <t>ÖDESHÖG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45519</v>
      </c>
      <c r="E172" s="1" t="n">
        <v>46251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45065</v>
      </c>
      <c r="E173" s="1" t="n">
        <v>46251</v>
      </c>
      <c r="F173" t="inlineStr">
        <is>
          <t>ÖSTERGÖTLANDS LÄN</t>
        </is>
      </c>
      <c r="G173" t="inlineStr">
        <is>
          <t>ÖDESHÖG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46251</v>
      </c>
      <c r="F174" t="inlineStr">
        <is>
          <t>ÖSTERGÖTLANDS LÄN</t>
        </is>
      </c>
      <c r="G174" t="inlineStr">
        <is>
          <t>ÖDESHÖG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15813-2022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44664</v>
      </c>
      <c r="E175" s="1" t="n">
        <v>46251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46251</v>
      </c>
      <c r="F176" t="inlineStr">
        <is>
          <t>ÖSTERGÖTLANDS LÄN</t>
        </is>
      </c>
      <c r="G176" t="inlineStr">
        <is>
          <t>ÖDESHÖG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46251</v>
      </c>
      <c r="F177" t="inlineStr">
        <is>
          <t>ÖSTERGÖTLANDS LÄN</t>
        </is>
      </c>
      <c r="G177" t="inlineStr">
        <is>
          <t>ÖDESHÖG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46251</v>
      </c>
      <c r="F178" t="inlineStr">
        <is>
          <t>ÖSTERGÖTLANDS LÄN</t>
        </is>
      </c>
      <c r="G178" t="inlineStr">
        <is>
          <t>ÖDESHÖG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46251</v>
      </c>
      <c r="F179" t="inlineStr">
        <is>
          <t>ÖSTERGÖTLANDS LÄN</t>
        </is>
      </c>
      <c r="G179" t="inlineStr">
        <is>
          <t>ÖDESHÖG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46251</v>
      </c>
      <c r="F180" t="inlineStr">
        <is>
          <t>ÖSTERGÖTLANDS LÄN</t>
        </is>
      </c>
      <c r="G180" t="inlineStr">
        <is>
          <t>ÖDESHÖG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45065</v>
      </c>
      <c r="E181" s="1" t="n">
        <v>46251</v>
      </c>
      <c r="F181" t="inlineStr">
        <is>
          <t>ÖSTERGÖTLANDS LÄN</t>
        </is>
      </c>
      <c r="G181" t="inlineStr">
        <is>
          <t>ÖDESHÖG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46251</v>
      </c>
      <c r="F182" t="inlineStr">
        <is>
          <t>ÖSTERGÖTLANDS LÄN</t>
        </is>
      </c>
      <c r="G182" t="inlineStr">
        <is>
          <t>ÖDESHÖG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46251</v>
      </c>
      <c r="F183" t="inlineStr">
        <is>
          <t>ÖSTERGÖTLANDS LÄN</t>
        </is>
      </c>
      <c r="G183" t="inlineStr">
        <is>
          <t>ÖDESHÖG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51041-2024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46251</v>
      </c>
      <c r="F184" t="inlineStr">
        <is>
          <t>ÖSTERGÖTLANDS LÄN</t>
        </is>
      </c>
      <c r="G184" t="inlineStr">
        <is>
          <t>ÖDESHÖG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46251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46251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46251</v>
      </c>
      <c r="F187" t="inlineStr">
        <is>
          <t>ÖSTERGÖTLANDS LÄN</t>
        </is>
      </c>
      <c r="G187" t="inlineStr">
        <is>
          <t>ÖDESHÖG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46251</v>
      </c>
      <c r="F188" t="inlineStr">
        <is>
          <t>ÖSTERGÖTLANDS LÄN</t>
        </is>
      </c>
      <c r="G188" t="inlineStr">
        <is>
          <t>ÖDESHÖG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46251</v>
      </c>
      <c r="F189" t="inlineStr">
        <is>
          <t>ÖSTERGÖTLANDS LÄN</t>
        </is>
      </c>
      <c r="G189" t="inlineStr">
        <is>
          <t>ÖDESHÖG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45516</v>
      </c>
      <c r="E190" s="1" t="n">
        <v>46251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46251</v>
      </c>
      <c r="F191" t="inlineStr">
        <is>
          <t>ÖSTERGÖTLANDS LÄN</t>
        </is>
      </c>
      <c r="G191" t="inlineStr">
        <is>
          <t>ÖDESHÖG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46251</v>
      </c>
      <c r="F192" t="inlineStr">
        <is>
          <t>ÖSTERGÖTLANDS LÄN</t>
        </is>
      </c>
      <c r="G192" t="inlineStr">
        <is>
          <t>ÖDESHÖG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45335</v>
      </c>
      <c r="E193" s="1" t="n">
        <v>46251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61011-2024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45645</v>
      </c>
      <c r="E194" s="1" t="n">
        <v>46251</v>
      </c>
      <c r="F194" t="inlineStr">
        <is>
          <t>ÖSTERGÖTLANDS LÄN</t>
        </is>
      </c>
      <c r="G194" t="inlineStr">
        <is>
          <t>ÖDESHÖG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46251</v>
      </c>
      <c r="F195" t="inlineStr">
        <is>
          <t>ÖSTERGÖTLANDS LÄN</t>
        </is>
      </c>
      <c r="G195" t="inlineStr">
        <is>
          <t>ÖDESHÖG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44502</v>
      </c>
      <c r="E196" s="1" t="n">
        <v>46251</v>
      </c>
      <c r="F196" t="inlineStr">
        <is>
          <t>ÖSTERGÖTLANDS LÄN</t>
        </is>
      </c>
      <c r="G196" t="inlineStr">
        <is>
          <t>ÖDESHÖG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46251</v>
      </c>
      <c r="F197" t="inlineStr">
        <is>
          <t>ÖSTERGÖTLANDS LÄN</t>
        </is>
      </c>
      <c r="G197" t="inlineStr">
        <is>
          <t>ÖDESHÖG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45782</v>
      </c>
      <c r="E198" s="1" t="n">
        <v>46251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46251</v>
      </c>
      <c r="F199" t="inlineStr">
        <is>
          <t>ÖSTERGÖTLANDS LÄN</t>
        </is>
      </c>
      <c r="G199" t="inlineStr">
        <is>
          <t>ÖDESHÖG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46251</v>
      </c>
      <c r="F200" t="inlineStr">
        <is>
          <t>ÖSTERGÖTLANDS LÄN</t>
        </is>
      </c>
      <c r="G200" t="inlineStr">
        <is>
          <t>ÖDESHÖG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46251</v>
      </c>
      <c r="F201" t="inlineStr">
        <is>
          <t>ÖSTERGÖTLANDS LÄN</t>
        </is>
      </c>
      <c r="G201" t="inlineStr">
        <is>
          <t>ÖDESHÖG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46251</v>
      </c>
      <c r="F202" t="inlineStr">
        <is>
          <t>ÖSTERGÖTLANDS LÄN</t>
        </is>
      </c>
      <c r="G202" t="inlineStr">
        <is>
          <t>ÖDESHÖG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46251</v>
      </c>
      <c r="F203" t="inlineStr">
        <is>
          <t>ÖSTERGÖTLANDS LÄN</t>
        </is>
      </c>
      <c r="G203" t="inlineStr">
        <is>
          <t>ÖDESHÖG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46251</v>
      </c>
      <c r="F204" t="inlineStr">
        <is>
          <t>ÖSTERGÖTLANDS LÄN</t>
        </is>
      </c>
      <c r="G204" t="inlineStr">
        <is>
          <t>ÖDESHÖG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46251</v>
      </c>
      <c r="F205" t="inlineStr">
        <is>
          <t>ÖSTERGÖTLANDS LÄN</t>
        </is>
      </c>
      <c r="G205" t="inlineStr">
        <is>
          <t>ÖDESHÖG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46251</v>
      </c>
      <c r="F206" t="inlineStr">
        <is>
          <t>ÖSTERGÖTLANDS LÄN</t>
        </is>
      </c>
      <c r="G206" t="inlineStr">
        <is>
          <t>ÖDESHÖG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46251</v>
      </c>
      <c r="F207" t="inlineStr">
        <is>
          <t>ÖSTERGÖTLANDS LÄN</t>
        </is>
      </c>
      <c r="G207" t="inlineStr">
        <is>
          <t>ÖDESHÖG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46251</v>
      </c>
      <c r="F208" t="inlineStr">
        <is>
          <t>ÖSTERGÖTLANDS LÄN</t>
        </is>
      </c>
      <c r="G208" t="inlineStr">
        <is>
          <t>ÖDESHÖG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45671</v>
      </c>
      <c r="E209" s="1" t="n">
        <v>46251</v>
      </c>
      <c r="F209" t="inlineStr">
        <is>
          <t>ÖSTERGÖTLANDS LÄN</t>
        </is>
      </c>
      <c r="G209" t="inlineStr">
        <is>
          <t>ÖDESHÖG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15909-2024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45405</v>
      </c>
      <c r="E210" s="1" t="n">
        <v>46251</v>
      </c>
      <c r="F210" t="inlineStr">
        <is>
          <t>ÖSTERGÖTLANDS LÄN</t>
        </is>
      </c>
      <c r="G210" t="inlineStr">
        <is>
          <t>ÖDESHÖG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46251</v>
      </c>
      <c r="F211" t="inlineStr">
        <is>
          <t>ÖSTERGÖTLANDS LÄN</t>
        </is>
      </c>
      <c r="G211" t="inlineStr">
        <is>
          <t>ÖDESHÖG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46251</v>
      </c>
      <c r="F212" t="inlineStr">
        <is>
          <t>ÖSTERGÖTLANDS LÄN</t>
        </is>
      </c>
      <c r="G212" t="inlineStr">
        <is>
          <t>ÖDESHÖG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46251</v>
      </c>
      <c r="F213" t="inlineStr">
        <is>
          <t>ÖSTERGÖTLANDS LÄN</t>
        </is>
      </c>
      <c r="G213" t="inlineStr">
        <is>
          <t>ÖDESHÖG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46220</v>
      </c>
      <c r="E214" s="1" t="n">
        <v>46251</v>
      </c>
      <c r="F214" t="inlineStr">
        <is>
          <t>ÖSTERGÖTLANDS LÄN</t>
        </is>
      </c>
      <c r="G214" t="inlineStr">
        <is>
          <t>ÖDESHÖG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46251</v>
      </c>
      <c r="F215" t="inlineStr">
        <is>
          <t>ÖSTERGÖTLANDS LÄN</t>
        </is>
      </c>
      <c r="G215" t="inlineStr">
        <is>
          <t>ÖDESHÖG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46251</v>
      </c>
      <c r="F216" t="inlineStr">
        <is>
          <t>ÖSTERGÖTLANDS LÄN</t>
        </is>
      </c>
      <c r="G216" t="inlineStr">
        <is>
          <t>ÖDESHÖG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46251</v>
      </c>
      <c r="F217" t="inlineStr">
        <is>
          <t>ÖSTERGÖTLANDS LÄN</t>
        </is>
      </c>
      <c r="G217" t="inlineStr">
        <is>
          <t>ÖDESHÖG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46251</v>
      </c>
      <c r="F218" t="inlineStr">
        <is>
          <t>ÖSTERGÖTLANDS LÄN</t>
        </is>
      </c>
      <c r="G218" t="inlineStr">
        <is>
          <t>ÖDESHÖG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46251</v>
      </c>
      <c r="F219" t="inlineStr">
        <is>
          <t>ÖSTERGÖTLANDS LÄN</t>
        </is>
      </c>
      <c r="G219" t="inlineStr">
        <is>
          <t>ÖDESHÖG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46251</v>
      </c>
      <c r="F220" t="inlineStr">
        <is>
          <t>ÖSTERGÖTLANDS LÄN</t>
        </is>
      </c>
      <c r="G220" t="inlineStr">
        <is>
          <t>ÖDESHÖG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46251</v>
      </c>
      <c r="F221" t="inlineStr">
        <is>
          <t>ÖSTERGÖTLANDS LÄN</t>
        </is>
      </c>
      <c r="G221" t="inlineStr">
        <is>
          <t>ÖDESHÖG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39190-2023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45166</v>
      </c>
      <c r="E222" s="1" t="n">
        <v>46251</v>
      </c>
      <c r="F222" t="inlineStr">
        <is>
          <t>ÖSTERGÖTLANDS LÄN</t>
        </is>
      </c>
      <c r="G222" t="inlineStr">
        <is>
          <t>ÖDESHÖG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45027</v>
      </c>
      <c r="E223" s="1" t="n">
        <v>46251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Allmännings- och besparingsskogar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46251</v>
      </c>
      <c r="F224" t="inlineStr">
        <is>
          <t>ÖSTERGÖTLANDS LÄN</t>
        </is>
      </c>
      <c r="G224" t="inlineStr">
        <is>
          <t>ÖDESHÖG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45313</v>
      </c>
      <c r="E225" s="1" t="n">
        <v>46251</v>
      </c>
      <c r="F225" t="inlineStr">
        <is>
          <t>ÖSTERGÖTLANDS LÄN</t>
        </is>
      </c>
      <c r="G225" t="inlineStr">
        <is>
          <t>ÖDESHÖG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46251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46251</v>
      </c>
      <c r="F227" t="inlineStr">
        <is>
          <t>ÖSTERGÖTLANDS LÄN</t>
        </is>
      </c>
      <c r="G227" t="inlineStr">
        <is>
          <t>ÖDESHÖG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46251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46251</v>
      </c>
      <c r="F229" t="inlineStr">
        <is>
          <t>ÖSTERGÖTLANDS LÄN</t>
        </is>
      </c>
      <c r="G229" t="inlineStr">
        <is>
          <t>ÖDESHÖG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46251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46251</v>
      </c>
      <c r="F231" t="inlineStr">
        <is>
          <t>ÖSTERGÖTLANDS LÄN</t>
        </is>
      </c>
      <c r="G231" t="inlineStr">
        <is>
          <t>ÖDESHÖG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45183</v>
      </c>
      <c r="E232" s="1" t="n">
        <v>46251</v>
      </c>
      <c r="F232" t="inlineStr">
        <is>
          <t>ÖSTERGÖTLANDS LÄN</t>
        </is>
      </c>
      <c r="G232" t="inlineStr">
        <is>
          <t>ÖDESHÖG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46199</v>
      </c>
      <c r="E233" s="1" t="n">
        <v>46251</v>
      </c>
      <c r="F233" t="inlineStr">
        <is>
          <t>ÖSTERGÖTLANDS LÄN</t>
        </is>
      </c>
      <c r="G233" t="inlineStr">
        <is>
          <t>ÖDESHÖG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46251</v>
      </c>
      <c r="F234" t="inlineStr">
        <is>
          <t>ÖSTERGÖTLANDS LÄN</t>
        </is>
      </c>
      <c r="G234" t="inlineStr">
        <is>
          <t>ÖDESHÖG</t>
        </is>
      </c>
      <c r="H234" t="inlineStr">
        <is>
          <t>Allmännings- och besparingsskogar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46251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46251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Sveaskog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46251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46251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2026-08-17T01:47:00Z</dcterms:created>
  <dcterms:modified xmlns:dcterms="http://purl.org/dc/terms/" xmlns:xsi="http://www.w3.org/2001/XMLSchema-instance" xsi:type="dcterms:W3CDTF">2026-08-17T01:47:00Z</dcterms:modified>
</cp:coreProperties>
</file>