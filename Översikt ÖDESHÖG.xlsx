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46303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46303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46303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46303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46303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46303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46303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46303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46303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46303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46303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4772-2022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46303</v>
      </c>
      <c r="F15" t="inlineStr">
        <is>
          <t>ÖSTERGÖTLANDS LÄN</t>
        </is>
      </c>
      <c r="G15" t="inlineStr">
        <is>
          <t>ÖDESHÖG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HYPERLINK("https://klasma.github.io/Logging_0509/artfynd/A 4772-2022 artfynd.xlsx", "A 4772-2022")</f>
        <v/>
      </c>
      <c r="X15">
        <f>HYPERLINK("https://klasma.github.io/Logging_0509/kartor/A 4772-2022 karta.png", "A 4772-2022")</f>
        <v/>
      </c>
      <c r="Y15">
        <f>HYPERLINK("https://klasma.github.io/Logging_0509/kartor_geotiff/A 4772-2022 georefererad karta.tif", "A 4772-2022")</f>
        <v/>
      </c>
      <c r="AA15">
        <f>HYPERLINK("https://klasma.github.io/Logging_0509/klagomål/A 4772-2022 FSC-klagomål.docx", "A 4772-2022")</f>
        <v/>
      </c>
      <c r="AB15">
        <f>HYPERLINK("https://klasma.github.io/Logging_0509/klagomålsmail/A 4772-2022 FSC-klagomål mail.docx", "A 4772-2022")</f>
        <v/>
      </c>
      <c r="AC15">
        <f>HYPERLINK("https://klasma.github.io/Logging_0509/tillsyn/A 4772-2022 tillsynsbegäran.docx", "A 4772-2022")</f>
        <v/>
      </c>
      <c r="AD15">
        <f>HYPERLINK("https://klasma.github.io/Logging_0509/tillsynsmail/A 4772-2022 tillsynsbegäran mail.docx", "A 4772-2022")</f>
        <v/>
      </c>
    </row>
    <row r="16" ht="15" customHeight="1">
      <c r="A16" t="inlineStr">
        <is>
          <t>A 32776-2025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45839</v>
      </c>
      <c r="E16" s="1" t="n">
        <v>46303</v>
      </c>
      <c r="F16" t="inlineStr">
        <is>
          <t>ÖSTERGÖTLANDS LÄN</t>
        </is>
      </c>
      <c r="G16" t="inlineStr">
        <is>
          <t>ÖDESHÖG</t>
        </is>
      </c>
      <c r="I16" t="n">
        <v>1.3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Smalsprötad bastardsvärmare</t>
        </is>
      </c>
      <c r="W16">
        <f>HYPERLINK("https://klasma.github.io/Logging_0509/artfynd/A 32776-2025 artfynd.xlsx", "A 32776-2025")</f>
        <v/>
      </c>
      <c r="X16">
        <f>HYPERLINK("https://klasma.github.io/Logging_0509/kartor/A 32776-2025 karta.png", "A 32776-2025")</f>
        <v/>
      </c>
      <c r="Y16">
        <f>HYPERLINK("https://klasma.github.io/Logging_0509/kartor_geotiff/A 32776-2025 georefererad karta.tif", "A 32776-2025")</f>
        <v/>
      </c>
      <c r="AA16">
        <f>HYPERLINK("https://klasma.github.io/Logging_0509/klagomål/A 32776-2025 FSC-klagomål.docx", "A 32776-2025")</f>
        <v/>
      </c>
      <c r="AB16">
        <f>HYPERLINK("https://klasma.github.io/Logging_0509/klagomålsmail/A 32776-2025 FSC-klagomål mail.docx", "A 32776-2025")</f>
        <v/>
      </c>
      <c r="AC16">
        <f>HYPERLINK("https://klasma.github.io/Logging_0509/tillsyn/A 32776-2025 tillsynsbegäran.docx", "A 32776-2025")</f>
        <v/>
      </c>
      <c r="AD16">
        <f>HYPERLINK("https://klasma.github.io/Logging_0509/tillsynsmail/A 32776-2025 tillsynsbegäran mail.docx", "A 32776-2025")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46303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58551-2023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45251</v>
      </c>
      <c r="E18" s="1" t="n">
        <v>46303</v>
      </c>
      <c r="F18" t="inlineStr">
        <is>
          <t>ÖSTERGÖTLANDS LÄN</t>
        </is>
      </c>
      <c r="G18" t="inlineStr">
        <is>
          <t>ÖDESHÖG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HYPERLINK("https://klasma.github.io/Logging_0509/artfynd/A 58551-2023 artfynd.xlsx", "A 58551-2023")</f>
        <v/>
      </c>
      <c r="X18">
        <f>HYPERLINK("https://klasma.github.io/Logging_0509/kartor/A 58551-2023 karta.png", "A 58551-2023")</f>
        <v/>
      </c>
      <c r="Y18">
        <f>HYPERLINK("https://klasma.github.io/Logging_0509/kartor_geotiff/A 58551-2023 georefererad karta.tif", "A 58551-2023")</f>
        <v/>
      </c>
      <c r="AA18">
        <f>HYPERLINK("https://klasma.github.io/Logging_0509/klagomål/A 58551-2023 FSC-klagomål.docx", "A 58551-2023")</f>
        <v/>
      </c>
      <c r="AB18">
        <f>HYPERLINK("https://klasma.github.io/Logging_0509/klagomålsmail/A 58551-2023 FSC-klagomål mail.docx", "A 58551-2023")</f>
        <v/>
      </c>
      <c r="AC18">
        <f>HYPERLINK("https://klasma.github.io/Logging_0509/tillsyn/A 58551-2023 tillsynsbegäran.docx", "A 58551-2023")</f>
        <v/>
      </c>
      <c r="AD18">
        <f>HYPERLINK("https://klasma.github.io/Logging_0509/tillsynsmail/A 58551-2023 tillsynsbegäran mail.docx", "A 58551-2023")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46303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46303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38720-2023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46303</v>
      </c>
      <c r="F21" t="inlineStr">
        <is>
          <t>ÖSTERGÖTLANDS LÄN</t>
        </is>
      </c>
      <c r="G21" t="inlineStr">
        <is>
          <t>ÖDESHÖG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Hässleklocka</t>
        </is>
      </c>
      <c r="W21">
        <f>HYPERLINK("https://klasma.github.io/Logging_0509/artfynd/A 38720-2023 artfynd.xlsx", "A 38720-2023")</f>
        <v/>
      </c>
      <c r="X21">
        <f>HYPERLINK("https://klasma.github.io/Logging_0509/kartor/A 38720-2023 karta.png", "A 38720-2023")</f>
        <v/>
      </c>
      <c r="Y21">
        <f>HYPERLINK("https://klasma.github.io/Logging_0509/kartor_geotiff/A 38720-2023 georefererad karta.tif", "A 38720-2023")</f>
        <v/>
      </c>
      <c r="AA21">
        <f>HYPERLINK("https://klasma.github.io/Logging_0509/klagomål/A 38720-2023 FSC-klagomål.docx", "A 38720-2023")</f>
        <v/>
      </c>
      <c r="AB21">
        <f>HYPERLINK("https://klasma.github.io/Logging_0509/klagomålsmail/A 38720-2023 FSC-klagomål mail.docx", "A 38720-2023")</f>
        <v/>
      </c>
      <c r="AC21">
        <f>HYPERLINK("https://klasma.github.io/Logging_0509/tillsyn/A 38720-2023 tillsynsbegäran.docx", "A 38720-2023")</f>
        <v/>
      </c>
      <c r="AD21">
        <f>HYPERLINK("https://klasma.github.io/Logging_0509/tillsynsmail/A 38720-2023 tillsynsbegäran mail.docx", "A 38720-2023")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46303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46303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46303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46303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46303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46303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46303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46303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44666</v>
      </c>
      <c r="E32" s="1" t="n">
        <v>46303</v>
      </c>
      <c r="F32" t="inlineStr">
        <is>
          <t>ÖSTERGÖTLANDS LÄN</t>
        </is>
      </c>
      <c r="G32" t="inlineStr">
        <is>
          <t>ÖDESHÖG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8515-2022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46303</v>
      </c>
      <c r="F33" t="inlineStr">
        <is>
          <t>ÖSTERGÖTLANDS LÄN</t>
        </is>
      </c>
      <c r="G33" t="inlineStr">
        <is>
          <t>ÖDESHÖG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46303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45678</v>
      </c>
      <c r="E35" s="1" t="n">
        <v>46303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18.6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46303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16128-2025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45750</v>
      </c>
      <c r="E37" s="1" t="n">
        <v>46303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46303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46303</v>
      </c>
      <c r="F39" t="inlineStr">
        <is>
          <t>ÖSTERGÖTLANDS LÄN</t>
        </is>
      </c>
      <c r="G39" t="inlineStr">
        <is>
          <t>ÖDESHÖG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34979-2022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44796</v>
      </c>
      <c r="E40" s="1" t="n">
        <v>46303</v>
      </c>
      <c r="F40" t="inlineStr">
        <is>
          <t>ÖSTERGÖTLANDS LÄN</t>
        </is>
      </c>
      <c r="G40" t="inlineStr">
        <is>
          <t>ÖDESHÖG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55971-2023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45240</v>
      </c>
      <c r="E41" s="1" t="n">
        <v>46303</v>
      </c>
      <c r="F41" t="inlineStr">
        <is>
          <t>ÖSTERGÖTLANDS LÄN</t>
        </is>
      </c>
      <c r="G41" t="inlineStr">
        <is>
          <t>ÖDESHÖG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46303</v>
      </c>
      <c r="F42" t="inlineStr">
        <is>
          <t>ÖSTERGÖTLANDS LÄN</t>
        </is>
      </c>
      <c r="G42" t="inlineStr">
        <is>
          <t>ÖDESHÖG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45027</v>
      </c>
      <c r="E43" s="1" t="n">
        <v>46303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50387-2024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46303</v>
      </c>
      <c r="F44" t="inlineStr">
        <is>
          <t>ÖSTERGÖTLANDS LÄN</t>
        </is>
      </c>
      <c r="G44" t="inlineStr">
        <is>
          <t>ÖDESHÖG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46303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32715-2024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45516</v>
      </c>
      <c r="E46" s="1" t="n">
        <v>46303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46303</v>
      </c>
      <c r="F47" t="inlineStr">
        <is>
          <t>ÖSTERGÖTLANDS LÄN</t>
        </is>
      </c>
      <c r="G47" t="inlineStr">
        <is>
          <t>ÖDESHÖG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46303</v>
      </c>
      <c r="F48" t="inlineStr">
        <is>
          <t>ÖSTERGÖTLANDS LÄN</t>
        </is>
      </c>
      <c r="G48" t="inlineStr">
        <is>
          <t>ÖDESHÖG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45782</v>
      </c>
      <c r="E49" s="1" t="n">
        <v>46303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21357-2025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45782</v>
      </c>
      <c r="E50" s="1" t="n">
        <v>46303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46303</v>
      </c>
      <c r="F51" t="inlineStr">
        <is>
          <t>ÖSTERGÖTLANDS LÄN</t>
        </is>
      </c>
      <c r="G51" t="inlineStr">
        <is>
          <t>ÖDESHÖG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46303</v>
      </c>
      <c r="F52" t="inlineStr">
        <is>
          <t>ÖSTERGÖTLANDS LÄN</t>
        </is>
      </c>
      <c r="G52" t="inlineStr">
        <is>
          <t>ÖDESHÖG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45065</v>
      </c>
      <c r="E53" s="1" t="n">
        <v>46303</v>
      </c>
      <c r="F53" t="inlineStr">
        <is>
          <t>ÖSTERGÖTLANDS LÄN</t>
        </is>
      </c>
      <c r="G53" t="inlineStr">
        <is>
          <t>ÖDESHÖG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45049</v>
      </c>
      <c r="E54" s="1" t="n">
        <v>46303</v>
      </c>
      <c r="F54" t="inlineStr">
        <is>
          <t>ÖSTERGÖTLANDS LÄN</t>
        </is>
      </c>
      <c r="G54" t="inlineStr">
        <is>
          <t>ÖDESHÖG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50818-2023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46303</v>
      </c>
      <c r="F55" t="inlineStr">
        <is>
          <t>ÖSTERGÖTLANDS LÄN</t>
        </is>
      </c>
      <c r="G55" t="inlineStr">
        <is>
          <t>ÖDESHÖG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46303</v>
      </c>
      <c r="F56" t="inlineStr">
        <is>
          <t>ÖSTERGÖTLANDS LÄN</t>
        </is>
      </c>
      <c r="G56" t="inlineStr">
        <is>
          <t>ÖDESHÖG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21336-2025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45782</v>
      </c>
      <c r="E57" s="1" t="n">
        <v>46303</v>
      </c>
      <c r="F57" t="inlineStr">
        <is>
          <t>ÖSTERGÖTLANDS LÄN</t>
        </is>
      </c>
      <c r="G57" t="inlineStr">
        <is>
          <t>ÖDESHÖG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41730-2025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45902</v>
      </c>
      <c r="E58" s="1" t="n">
        <v>46303</v>
      </c>
      <c r="F58" t="inlineStr">
        <is>
          <t>ÖSTERGÖTLANDS LÄN</t>
        </is>
      </c>
      <c r="G58" t="inlineStr">
        <is>
          <t>ÖDESHÖG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45065</v>
      </c>
      <c r="E59" s="1" t="n">
        <v>46303</v>
      </c>
      <c r="F59" t="inlineStr">
        <is>
          <t>ÖSTERGÖTLANDS LÄN</t>
        </is>
      </c>
      <c r="G59" t="inlineStr">
        <is>
          <t>ÖDESHÖG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46303</v>
      </c>
      <c r="F60" t="inlineStr">
        <is>
          <t>ÖSTERGÖTLANDS LÄN</t>
        </is>
      </c>
      <c r="G60" t="inlineStr">
        <is>
          <t>ÖDESHÖG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46303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46303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45335</v>
      </c>
      <c r="E63" s="1" t="n">
        <v>46303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45491</v>
      </c>
      <c r="E64" s="1" t="n">
        <v>46303</v>
      </c>
      <c r="F64" t="inlineStr">
        <is>
          <t>ÖSTERGÖTLANDS LÄN</t>
        </is>
      </c>
      <c r="G64" t="inlineStr">
        <is>
          <t>ÖDESHÖG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61880-2021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46303</v>
      </c>
      <c r="F65" t="inlineStr">
        <is>
          <t>ÖSTERGÖTLANDS LÄN</t>
        </is>
      </c>
      <c r="G65" t="inlineStr">
        <is>
          <t>ÖDESHÖG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46303</v>
      </c>
      <c r="F66" t="inlineStr">
        <is>
          <t>ÖSTERGÖTLANDS LÄN</t>
        </is>
      </c>
      <c r="G66" t="inlineStr">
        <is>
          <t>ÖDESHÖG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46303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48325-2022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44858</v>
      </c>
      <c r="E68" s="1" t="n">
        <v>46303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46303</v>
      </c>
      <c r="F69" t="inlineStr">
        <is>
          <t>ÖSTERGÖTLANDS LÄN</t>
        </is>
      </c>
      <c r="G69" t="inlineStr">
        <is>
          <t>ÖDESHÖG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46303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46303</v>
      </c>
      <c r="F71" t="inlineStr">
        <is>
          <t>ÖSTERGÖTLANDS LÄN</t>
        </is>
      </c>
      <c r="G71" t="inlineStr">
        <is>
          <t>ÖDESHÖG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64802-2021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44512</v>
      </c>
      <c r="E72" s="1" t="n">
        <v>46303</v>
      </c>
      <c r="F72" t="inlineStr">
        <is>
          <t>ÖSTERGÖTLANDS LÄN</t>
        </is>
      </c>
      <c r="G72" t="inlineStr">
        <is>
          <t>ÖDESHÖG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45337</v>
      </c>
      <c r="E73" s="1" t="n">
        <v>46303</v>
      </c>
      <c r="F73" t="inlineStr">
        <is>
          <t>ÖSTERGÖTLANDS LÄN</t>
        </is>
      </c>
      <c r="G73" t="inlineStr">
        <is>
          <t>ÖDESHÖG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46303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46303</v>
      </c>
      <c r="F75" t="inlineStr">
        <is>
          <t>ÖSTERGÖTLANDS LÄN</t>
        </is>
      </c>
      <c r="G75" t="inlineStr">
        <is>
          <t>ÖDESHÖG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46303</v>
      </c>
      <c r="F76" t="inlineStr">
        <is>
          <t>ÖSTERGÖTLANDS LÄN</t>
        </is>
      </c>
      <c r="G76" t="inlineStr">
        <is>
          <t>ÖDESHÖG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46303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44936</v>
      </c>
      <c r="E78" s="1" t="n">
        <v>46303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45512</v>
      </c>
      <c r="E79" s="1" t="n">
        <v>46303</v>
      </c>
      <c r="F79" t="inlineStr">
        <is>
          <t>ÖSTERGÖTLANDS LÄN</t>
        </is>
      </c>
      <c r="G79" t="inlineStr">
        <is>
          <t>ÖDESHÖG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45161</v>
      </c>
      <c r="E80" s="1" t="n">
        <v>46303</v>
      </c>
      <c r="F80" t="inlineStr">
        <is>
          <t>ÖSTERGÖTLANDS LÄN</t>
        </is>
      </c>
      <c r="G80" t="inlineStr">
        <is>
          <t>ÖDESHÖG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46303</v>
      </c>
      <c r="F81" t="inlineStr">
        <is>
          <t>ÖSTERGÖTLANDS LÄN</t>
        </is>
      </c>
      <c r="G81" t="inlineStr">
        <is>
          <t>ÖDESHÖG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46303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45471</v>
      </c>
      <c r="E83" s="1" t="n">
        <v>46303</v>
      </c>
      <c r="F83" t="inlineStr">
        <is>
          <t>ÖSTERGÖTLANDS LÄN</t>
        </is>
      </c>
      <c r="G83" t="inlineStr">
        <is>
          <t>ÖDESHÖG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46303</v>
      </c>
      <c r="F84" t="inlineStr">
        <is>
          <t>ÖSTERGÖTLANDS LÄN</t>
        </is>
      </c>
      <c r="G84" t="inlineStr">
        <is>
          <t>ÖDESHÖG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46303</v>
      </c>
      <c r="F85" t="inlineStr">
        <is>
          <t>ÖSTERGÖTLANDS LÄN</t>
        </is>
      </c>
      <c r="G85" t="inlineStr">
        <is>
          <t>ÖDESHÖG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46303</v>
      </c>
      <c r="F86" t="inlineStr">
        <is>
          <t>ÖSTERGÖTLANDS LÄN</t>
        </is>
      </c>
      <c r="G86" t="inlineStr">
        <is>
          <t>ÖDESHÖG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46303</v>
      </c>
      <c r="F87" t="inlineStr">
        <is>
          <t>ÖSTERGÖTLANDS LÄN</t>
        </is>
      </c>
      <c r="G87" t="inlineStr">
        <is>
          <t>ÖDESHÖG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46303</v>
      </c>
      <c r="F88" t="inlineStr">
        <is>
          <t>ÖSTERGÖTLANDS LÄN</t>
        </is>
      </c>
      <c r="G88" t="inlineStr">
        <is>
          <t>ÖDESHÖG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46303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46303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46303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45328</v>
      </c>
      <c r="E92" s="1" t="n">
        <v>46303</v>
      </c>
      <c r="F92" t="inlineStr">
        <is>
          <t>ÖSTERGÖTLANDS LÄN</t>
        </is>
      </c>
      <c r="G92" t="inlineStr">
        <is>
          <t>ÖDESHÖG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45944</v>
      </c>
      <c r="E93" s="1" t="n">
        <v>46303</v>
      </c>
      <c r="F93" t="inlineStr">
        <is>
          <t>ÖSTERGÖTLANDS LÄN</t>
        </is>
      </c>
      <c r="G93" t="inlineStr">
        <is>
          <t>ÖDESHÖG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45145</v>
      </c>
      <c r="E94" s="1" t="n">
        <v>46303</v>
      </c>
      <c r="F94" t="inlineStr">
        <is>
          <t>ÖSTERGÖTLANDS LÄN</t>
        </is>
      </c>
      <c r="G94" t="inlineStr">
        <is>
          <t>ÖDESHÖG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45491</v>
      </c>
      <c r="E95" s="1" t="n">
        <v>46303</v>
      </c>
      <c r="F95" t="inlineStr">
        <is>
          <t>ÖSTERGÖTLANDS LÄN</t>
        </is>
      </c>
      <c r="G95" t="inlineStr">
        <is>
          <t>ÖDESHÖG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46303</v>
      </c>
      <c r="F96" t="inlineStr">
        <is>
          <t>ÖSTERGÖTLANDS LÄN</t>
        </is>
      </c>
      <c r="G96" t="inlineStr">
        <is>
          <t>ÖDESHÖG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45316</v>
      </c>
      <c r="E97" s="1" t="n">
        <v>46303</v>
      </c>
      <c r="F97" t="inlineStr">
        <is>
          <t>ÖSTERGÖTLANDS LÄN</t>
        </is>
      </c>
      <c r="G97" t="inlineStr">
        <is>
          <t>ÖDESHÖG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47597-2023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46303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15909-2024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45405</v>
      </c>
      <c r="E99" s="1" t="n">
        <v>46303</v>
      </c>
      <c r="F99" t="inlineStr">
        <is>
          <t>ÖSTERGÖTLANDS LÄN</t>
        </is>
      </c>
      <c r="G99" t="inlineStr">
        <is>
          <t>ÖDESHÖG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46303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15907-2024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45405</v>
      </c>
      <c r="E101" s="1" t="n">
        <v>46303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15915-2024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45405</v>
      </c>
      <c r="E102" s="1" t="n">
        <v>46303</v>
      </c>
      <c r="F102" t="inlineStr">
        <is>
          <t>ÖSTERGÖTLANDS LÄN</t>
        </is>
      </c>
      <c r="G102" t="inlineStr">
        <is>
          <t>ÖDESHÖG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46303</v>
      </c>
      <c r="F103" t="inlineStr">
        <is>
          <t>ÖSTERGÖTLANDS LÄN</t>
        </is>
      </c>
      <c r="G103" t="inlineStr">
        <is>
          <t>ÖDESHÖG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46303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46303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45416</v>
      </c>
      <c r="E106" s="1" t="n">
        <v>46303</v>
      </c>
      <c r="F106" t="inlineStr">
        <is>
          <t>ÖSTERGÖTLANDS LÄN</t>
        </is>
      </c>
      <c r="G106" t="inlineStr">
        <is>
          <t>ÖDESHÖG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46303</v>
      </c>
      <c r="F107" t="inlineStr">
        <is>
          <t>ÖSTERGÖTLANDS LÄN</t>
        </is>
      </c>
      <c r="G107" t="inlineStr">
        <is>
          <t>ÖDESHÖG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46303</v>
      </c>
      <c r="F108" t="inlineStr">
        <is>
          <t>ÖSTERGÖTLANDS LÄN</t>
        </is>
      </c>
      <c r="G108" t="inlineStr">
        <is>
          <t>ÖDESHÖG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45014</v>
      </c>
      <c r="E109" s="1" t="n">
        <v>46303</v>
      </c>
      <c r="F109" t="inlineStr">
        <is>
          <t>ÖSTERGÖTLANDS LÄN</t>
        </is>
      </c>
      <c r="G109" t="inlineStr">
        <is>
          <t>ÖDESHÖG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14156-2023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45009</v>
      </c>
      <c r="E110" s="1" t="n">
        <v>46303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46303</v>
      </c>
      <c r="F111" t="inlineStr">
        <is>
          <t>ÖSTERGÖTLANDS LÄN</t>
        </is>
      </c>
      <c r="G111" t="inlineStr">
        <is>
          <t>ÖDESHÖG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46303</v>
      </c>
      <c r="F112" t="inlineStr">
        <is>
          <t>ÖSTERGÖTLANDS LÄN</t>
        </is>
      </c>
      <c r="G112" t="inlineStr">
        <is>
          <t>ÖDESHÖG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39190-2023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45166</v>
      </c>
      <c r="E113" s="1" t="n">
        <v>46303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46303</v>
      </c>
      <c r="F114" t="inlineStr">
        <is>
          <t>ÖSTERGÖTLANDS LÄN</t>
        </is>
      </c>
      <c r="G114" t="inlineStr">
        <is>
          <t>ÖDESHÖG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45027</v>
      </c>
      <c r="E115" s="1" t="n">
        <v>46303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46303</v>
      </c>
      <c r="F116" t="inlineStr">
        <is>
          <t>ÖSTERGÖTLANDS LÄN</t>
        </is>
      </c>
      <c r="G116" t="inlineStr">
        <is>
          <t>ÖDESHÖG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8256-2023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46303</v>
      </c>
      <c r="F117" t="inlineStr">
        <is>
          <t>ÖSTERGÖTLANDS LÄN</t>
        </is>
      </c>
      <c r="G117" t="inlineStr">
        <is>
          <t>ÖDESHÖG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46303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46303</v>
      </c>
      <c r="F119" t="inlineStr">
        <is>
          <t>ÖSTERGÖTLANDS LÄN</t>
        </is>
      </c>
      <c r="G119" t="inlineStr">
        <is>
          <t>ÖDESHÖG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46303</v>
      </c>
      <c r="F120" t="inlineStr">
        <is>
          <t>ÖSTERGÖTLANDS LÄN</t>
        </is>
      </c>
      <c r="G120" t="inlineStr">
        <is>
          <t>ÖDESHÖG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46303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46303</v>
      </c>
      <c r="F122" t="inlineStr">
        <is>
          <t>ÖSTERGÖTLANDS LÄN</t>
        </is>
      </c>
      <c r="G122" t="inlineStr">
        <is>
          <t>ÖDESHÖG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46303</v>
      </c>
      <c r="F123" t="inlineStr">
        <is>
          <t>ÖSTERGÖTLANDS LÄN</t>
        </is>
      </c>
      <c r="G123" t="inlineStr">
        <is>
          <t>ÖDESHÖG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14736-2024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45397</v>
      </c>
      <c r="E124" s="1" t="n">
        <v>46303</v>
      </c>
      <c r="F124" t="inlineStr">
        <is>
          <t>ÖSTERGÖTLANDS LÄN</t>
        </is>
      </c>
      <c r="G124" t="inlineStr">
        <is>
          <t>ÖDESHÖG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46303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46303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46303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46303</v>
      </c>
      <c r="F128" t="inlineStr">
        <is>
          <t>ÖSTERGÖTLANDS LÄN</t>
        </is>
      </c>
      <c r="G128" t="inlineStr">
        <is>
          <t>ÖDESHÖG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46303</v>
      </c>
      <c r="F129" t="inlineStr">
        <is>
          <t>ÖSTERGÖTLANDS LÄN</t>
        </is>
      </c>
      <c r="G129" t="inlineStr">
        <is>
          <t>ÖDESHÖG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46303</v>
      </c>
      <c r="F130" t="inlineStr">
        <is>
          <t>ÖSTERGÖTLANDS LÄN</t>
        </is>
      </c>
      <c r="G130" t="inlineStr">
        <is>
          <t>ÖDESHÖG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46303</v>
      </c>
      <c r="F131" t="inlineStr">
        <is>
          <t>ÖSTERGÖTLANDS LÄN</t>
        </is>
      </c>
      <c r="G131" t="inlineStr">
        <is>
          <t>ÖDESHÖG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46303</v>
      </c>
      <c r="F132" t="inlineStr">
        <is>
          <t>ÖSTERGÖTLANDS LÄN</t>
        </is>
      </c>
      <c r="G132" t="inlineStr">
        <is>
          <t>ÖDESHÖG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46303</v>
      </c>
      <c r="F133" t="inlineStr">
        <is>
          <t>ÖSTERGÖTLANDS LÄN</t>
        </is>
      </c>
      <c r="G133" t="inlineStr">
        <is>
          <t>ÖDESHÖG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46303</v>
      </c>
      <c r="F134" t="inlineStr">
        <is>
          <t>ÖSTERGÖTLANDS LÄN</t>
        </is>
      </c>
      <c r="G134" t="inlineStr">
        <is>
          <t>ÖDESHÖG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46303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43263-2023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45183</v>
      </c>
      <c r="E136" s="1" t="n">
        <v>46303</v>
      </c>
      <c r="F136" t="inlineStr">
        <is>
          <t>ÖSTERGÖTLANDS LÄN</t>
        </is>
      </c>
      <c r="G136" t="inlineStr">
        <is>
          <t>ÖDESHÖG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46303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9.5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46303</v>
      </c>
      <c r="F138" t="inlineStr">
        <is>
          <t>ÖSTERGÖTLANDS LÄN</t>
        </is>
      </c>
      <c r="G138" t="inlineStr">
        <is>
          <t>ÖDESHÖG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46303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46303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46303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46303</v>
      </c>
      <c r="F142" t="inlineStr">
        <is>
          <t>ÖSTERGÖTLANDS LÄN</t>
        </is>
      </c>
      <c r="G142" t="inlineStr">
        <is>
          <t>ÖDESHÖG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46303</v>
      </c>
      <c r="F143" t="inlineStr">
        <is>
          <t>ÖSTERGÖTLANDS LÄN</t>
        </is>
      </c>
      <c r="G143" t="inlineStr">
        <is>
          <t>ÖDESHÖG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46303</v>
      </c>
      <c r="F144" t="inlineStr">
        <is>
          <t>ÖSTERGÖTLANDS LÄN</t>
        </is>
      </c>
      <c r="G144" t="inlineStr">
        <is>
          <t>ÖDESHÖG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46303</v>
      </c>
      <c r="F145" t="inlineStr">
        <is>
          <t>ÖSTERGÖTLANDS LÄN</t>
        </is>
      </c>
      <c r="G145" t="inlineStr">
        <is>
          <t>ÖDESHÖG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61011-2024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45645</v>
      </c>
      <c r="E146" s="1" t="n">
        <v>46303</v>
      </c>
      <c r="F146" t="inlineStr">
        <is>
          <t>ÖSTERGÖTLANDS LÄN</t>
        </is>
      </c>
      <c r="G146" t="inlineStr">
        <is>
          <t>ÖDESHÖG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45617</v>
      </c>
      <c r="E147" s="1" t="n">
        <v>46303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46303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46303</v>
      </c>
      <c r="F149" t="inlineStr">
        <is>
          <t>ÖSTERGÖTLANDS LÄN</t>
        </is>
      </c>
      <c r="G149" t="inlineStr">
        <is>
          <t>ÖDESHÖG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46303</v>
      </c>
      <c r="F150" t="inlineStr">
        <is>
          <t>ÖSTERGÖTLANDS LÄN</t>
        </is>
      </c>
      <c r="G150" t="inlineStr">
        <is>
          <t>ÖDESHÖG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45707</v>
      </c>
      <c r="E151" s="1" t="n">
        <v>46303</v>
      </c>
      <c r="F151" t="inlineStr">
        <is>
          <t>ÖSTERGÖTLANDS LÄN</t>
        </is>
      </c>
      <c r="G151" t="inlineStr">
        <is>
          <t>ÖDESHÖG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46007</v>
      </c>
      <c r="E152" s="1" t="n">
        <v>46303</v>
      </c>
      <c r="F152" t="inlineStr">
        <is>
          <t>ÖSTERGÖTLANDS LÄN</t>
        </is>
      </c>
      <c r="G152" t="inlineStr">
        <is>
          <t>ÖDESHÖG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46303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46303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45160</v>
      </c>
      <c r="E155" s="1" t="n">
        <v>46303</v>
      </c>
      <c r="F155" t="inlineStr">
        <is>
          <t>ÖSTERGÖTLANDS LÄN</t>
        </is>
      </c>
      <c r="G155" t="inlineStr">
        <is>
          <t>ÖDESHÖG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46303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46303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46303</v>
      </c>
      <c r="F158" t="inlineStr">
        <is>
          <t>ÖSTERGÖTLANDS LÄN</t>
        </is>
      </c>
      <c r="G158" t="inlineStr">
        <is>
          <t>ÖDESHÖG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46021</v>
      </c>
      <c r="E159" s="1" t="n">
        <v>46303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46303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46303</v>
      </c>
      <c r="F161" t="inlineStr">
        <is>
          <t>ÖSTERGÖTLANDS LÄN</t>
        </is>
      </c>
      <c r="G161" t="inlineStr">
        <is>
          <t>ÖDESHÖG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46303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46303</v>
      </c>
      <c r="F163" t="inlineStr">
        <is>
          <t>ÖSTERGÖTLANDS LÄN</t>
        </is>
      </c>
      <c r="G163" t="inlineStr">
        <is>
          <t>ÖDESHÖG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46303</v>
      </c>
      <c r="F164" t="inlineStr">
        <is>
          <t>ÖSTERGÖTLANDS LÄN</t>
        </is>
      </c>
      <c r="G164" t="inlineStr">
        <is>
          <t>ÖDESHÖG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46303</v>
      </c>
      <c r="F165" t="inlineStr">
        <is>
          <t>ÖSTERGÖTLANDS LÄN</t>
        </is>
      </c>
      <c r="G165" t="inlineStr">
        <is>
          <t>ÖDESHÖG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46303</v>
      </c>
      <c r="F166" t="inlineStr">
        <is>
          <t>ÖSTERGÖTLANDS LÄN</t>
        </is>
      </c>
      <c r="G166" t="inlineStr">
        <is>
          <t>ÖDESHÖG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46303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44796</v>
      </c>
      <c r="E168" s="1" t="n">
        <v>46303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46303</v>
      </c>
      <c r="F169" t="inlineStr">
        <is>
          <t>ÖSTERGÖTLANDS LÄN</t>
        </is>
      </c>
      <c r="G169" t="inlineStr">
        <is>
          <t>ÖDESHÖG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45048</v>
      </c>
      <c r="E170" s="1" t="n">
        <v>46303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46303</v>
      </c>
      <c r="F171" t="inlineStr">
        <is>
          <t>ÖSTERGÖTLANDS LÄN</t>
        </is>
      </c>
      <c r="G171" t="inlineStr">
        <is>
          <t>ÖDESHÖG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46303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46303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46303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46303</v>
      </c>
      <c r="F175" t="inlineStr">
        <is>
          <t>ÖSTERGÖTLANDS LÄN</t>
        </is>
      </c>
      <c r="G175" t="inlineStr">
        <is>
          <t>ÖDESHÖG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46303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46303</v>
      </c>
      <c r="F177" t="inlineStr">
        <is>
          <t>ÖSTERGÖTLANDS LÄN</t>
        </is>
      </c>
      <c r="G177" t="inlineStr">
        <is>
          <t>ÖDESHÖG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46303</v>
      </c>
      <c r="F178" t="inlineStr">
        <is>
          <t>ÖSTERGÖTLANDS LÄN</t>
        </is>
      </c>
      <c r="G178" t="inlineStr">
        <is>
          <t>ÖDESHÖG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46303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45412</v>
      </c>
      <c r="E180" s="1" t="n">
        <v>46303</v>
      </c>
      <c r="F180" t="inlineStr">
        <is>
          <t>ÖSTERGÖTLANDS LÄN</t>
        </is>
      </c>
      <c r="G180" t="inlineStr">
        <is>
          <t>ÖDESHÖG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46303</v>
      </c>
      <c r="F181" t="inlineStr">
        <is>
          <t>ÖSTERGÖTLANDS LÄN</t>
        </is>
      </c>
      <c r="G181" t="inlineStr">
        <is>
          <t>ÖDESHÖG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46303</v>
      </c>
      <c r="F182" t="inlineStr">
        <is>
          <t>ÖSTERGÖTLANDS LÄN</t>
        </is>
      </c>
      <c r="G182" t="inlineStr">
        <is>
          <t>ÖDESHÖG</t>
        </is>
      </c>
      <c r="I182" t="n">
        <v>13.4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44992</v>
      </c>
      <c r="E183" s="1" t="n">
        <v>46303</v>
      </c>
      <c r="F183" t="inlineStr">
        <is>
          <t>ÖSTERGÖTLANDS LÄN</t>
        </is>
      </c>
      <c r="G183" t="inlineStr">
        <is>
          <t>ÖDESHÖG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46199</v>
      </c>
      <c r="E184" s="1" t="n">
        <v>46303</v>
      </c>
      <c r="F184" t="inlineStr">
        <is>
          <t>ÖSTERGÖTLANDS LÄN</t>
        </is>
      </c>
      <c r="G184" t="inlineStr">
        <is>
          <t>ÖDESHÖG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46303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46303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46303</v>
      </c>
      <c r="F188" t="inlineStr">
        <is>
          <t>ÖSTERGÖTLANDS LÄN</t>
        </is>
      </c>
      <c r="G188" t="inlineStr">
        <is>
          <t>ÖDESHÖG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46303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46303</v>
      </c>
      <c r="F190" t="inlineStr">
        <is>
          <t>ÖSTERGÖTLANDS LÄN</t>
        </is>
      </c>
      <c r="G190" t="inlineStr">
        <is>
          <t>ÖDESHÖG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44999</v>
      </c>
      <c r="E191" s="1" t="n">
        <v>46303</v>
      </c>
      <c r="F191" t="inlineStr">
        <is>
          <t>ÖSTERGÖTLANDS LÄN</t>
        </is>
      </c>
      <c r="G191" t="inlineStr">
        <is>
          <t>ÖDESHÖG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46303</v>
      </c>
      <c r="F192" t="inlineStr">
        <is>
          <t>ÖSTERGÖTLANDS LÄN</t>
        </is>
      </c>
      <c r="G192" t="inlineStr">
        <is>
          <t>ÖDESHÖG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46206</v>
      </c>
      <c r="E193" s="1" t="n">
        <v>46303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Sveaskog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46101</v>
      </c>
      <c r="E194" s="1" t="n">
        <v>46303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44658</v>
      </c>
      <c r="E195" s="1" t="n">
        <v>46303</v>
      </c>
      <c r="F195" t="inlineStr">
        <is>
          <t>ÖSTERGÖTLANDS LÄN</t>
        </is>
      </c>
      <c r="G195" t="inlineStr">
        <is>
          <t>ÖDESHÖG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46303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46303</v>
      </c>
      <c r="F197" t="inlineStr">
        <is>
          <t>ÖSTERGÖTLANDS LÄN</t>
        </is>
      </c>
      <c r="G197" t="inlineStr">
        <is>
          <t>ÖDESHÖG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72603-2021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44546</v>
      </c>
      <c r="E198" s="1" t="n">
        <v>46303</v>
      </c>
      <c r="F198" t="inlineStr">
        <is>
          <t>ÖSTERGÖTLANDS LÄN</t>
        </is>
      </c>
      <c r="G198" t="inlineStr">
        <is>
          <t>ÖDESHÖG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46303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46303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46303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46303</v>
      </c>
      <c r="F202" t="inlineStr">
        <is>
          <t>ÖSTERGÖTLANDS LÄN</t>
        </is>
      </c>
      <c r="G202" t="inlineStr">
        <is>
          <t>ÖDESHÖG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46303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46303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46303</v>
      </c>
      <c r="F205" t="inlineStr">
        <is>
          <t>ÖSTERGÖTLANDS LÄN</t>
        </is>
      </c>
      <c r="G205" t="inlineStr">
        <is>
          <t>ÖDESHÖG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46303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46303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46303</v>
      </c>
      <c r="F208" t="inlineStr">
        <is>
          <t>ÖSTERGÖTLANDS LÄN</t>
        </is>
      </c>
      <c r="G208" t="inlineStr">
        <is>
          <t>ÖDESHÖG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46303</v>
      </c>
      <c r="F209" t="inlineStr">
        <is>
          <t>ÖSTERGÖTLANDS LÄN</t>
        </is>
      </c>
      <c r="G209" t="inlineStr">
        <is>
          <t>ÖDESHÖG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46303</v>
      </c>
      <c r="F210" t="inlineStr">
        <is>
          <t>ÖSTERGÖTLANDS LÄN</t>
        </is>
      </c>
      <c r="G210" t="inlineStr">
        <is>
          <t>ÖDESHÖG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46303</v>
      </c>
      <c r="F211" t="inlineStr">
        <is>
          <t>ÖSTERGÖTLANDS LÄN</t>
        </is>
      </c>
      <c r="G211" t="inlineStr">
        <is>
          <t>ÖDESHÖG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46303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46109</v>
      </c>
      <c r="E213" s="1" t="n">
        <v>46303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46109</v>
      </c>
      <c r="E214" s="1" t="n">
        <v>46303</v>
      </c>
      <c r="F214" t="inlineStr">
        <is>
          <t>ÖSTERGÖTLANDS LÄN</t>
        </is>
      </c>
      <c r="G214" t="inlineStr">
        <is>
          <t>ÖDESHÖG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46303</v>
      </c>
      <c r="F215" t="inlineStr">
        <is>
          <t>ÖSTERGÖTLANDS LÄN</t>
        </is>
      </c>
      <c r="G215" t="inlineStr">
        <is>
          <t>ÖDESHÖG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46303</v>
      </c>
      <c r="F216" t="inlineStr">
        <is>
          <t>ÖSTERGÖTLANDS LÄN</t>
        </is>
      </c>
      <c r="G216" t="inlineStr">
        <is>
          <t>ÖDESHÖG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46303</v>
      </c>
      <c r="F217" t="inlineStr">
        <is>
          <t>ÖSTERGÖTLANDS LÄN</t>
        </is>
      </c>
      <c r="G217" t="inlineStr">
        <is>
          <t>ÖDESHÖG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46303</v>
      </c>
      <c r="F218" t="inlineStr">
        <is>
          <t>ÖSTERGÖTLANDS LÄN</t>
        </is>
      </c>
      <c r="G218" t="inlineStr">
        <is>
          <t>ÖDESHÖG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45163</v>
      </c>
      <c r="E219" s="1" t="n">
        <v>46303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45519</v>
      </c>
      <c r="E220" s="1" t="n">
        <v>46303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46303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15813-2022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44664</v>
      </c>
      <c r="E222" s="1" t="n">
        <v>46303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46303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46303</v>
      </c>
      <c r="F224" t="inlineStr">
        <is>
          <t>ÖSTERGÖTLANDS LÄN</t>
        </is>
      </c>
      <c r="G224" t="inlineStr">
        <is>
          <t>ÖDESHÖG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45316</v>
      </c>
      <c r="E225" s="1" t="n">
        <v>46303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45407</v>
      </c>
      <c r="E226" s="1" t="n">
        <v>46303</v>
      </c>
      <c r="F226" t="inlineStr">
        <is>
          <t>ÖSTERGÖTLANDS LÄN</t>
        </is>
      </c>
      <c r="G226" t="inlineStr">
        <is>
          <t>ÖDESHÖG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46303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46303</v>
      </c>
      <c r="F228" t="inlineStr">
        <is>
          <t>ÖSTERGÖTLANDS LÄN</t>
        </is>
      </c>
      <c r="G228" t="inlineStr">
        <is>
          <t>ÖDESHÖG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46303</v>
      </c>
      <c r="F229" t="inlineStr">
        <is>
          <t>ÖSTERGÖTLANDS LÄN</t>
        </is>
      </c>
      <c r="G229" t="inlineStr">
        <is>
          <t>ÖDESHÖG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46303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46303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46303</v>
      </c>
      <c r="F232" t="inlineStr">
        <is>
          <t>ÖSTERGÖTLANDS LÄN</t>
        </is>
      </c>
      <c r="G232" t="inlineStr">
        <is>
          <t>ÖDESHÖG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46289</v>
      </c>
      <c r="E233" s="1" t="n">
        <v>46303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46303</v>
      </c>
      <c r="F234" t="inlineStr">
        <is>
          <t>ÖSTERGÖTLANDS LÄN</t>
        </is>
      </c>
      <c r="G234" t="inlineStr">
        <is>
          <t>ÖDESHÖG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46303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46303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2026-10-08T02:06:59Z</dcterms:created>
  <dcterms:modified xmlns:dcterms="http://purl.org/dc/terms/" xmlns:xsi="http://www.w3.org/2001/XMLSchema-instance" xsi:type="dcterms:W3CDTF">2026-10-08T02:06:59Z</dcterms:modified>
</cp:coreProperties>
</file>