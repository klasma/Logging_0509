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1701-2025</t>
        </is>
      </c>
      <c r="B2" t="inlineStr">
        <is>
          <t>samrådsanmälan</t>
        </is>
      </c>
      <c r="C2" t="inlineStr">
        <is>
          <t>Askåterföring</t>
        </is>
      </c>
      <c r="D2" s="1" t="n">
        <v>45805</v>
      </c>
      <c r="E2" s="1" t="n">
        <v>46322</v>
      </c>
      <c r="F2" t="inlineStr">
        <is>
          <t>ÖSTERGÖTLANDS LÄN</t>
        </is>
      </c>
      <c r="G2" t="inlineStr">
        <is>
          <t>ÖDESHÖG</t>
        </is>
      </c>
      <c r="H2" t="inlineStr">
        <is>
          <t>Allmännings- och besparingsskogar</t>
        </is>
      </c>
      <c r="I2" t="n">
        <v>46.9</v>
      </c>
      <c r="J2" t="n">
        <v>2</v>
      </c>
      <c r="K2" t="n">
        <v>10</v>
      </c>
      <c r="L2" t="n">
        <v>5</v>
      </c>
      <c r="M2" t="n">
        <v>2</v>
      </c>
      <c r="N2" t="n">
        <v>0</v>
      </c>
      <c r="O2" t="n">
        <v>0</v>
      </c>
      <c r="P2" t="n">
        <v>0</v>
      </c>
      <c r="Q2" t="n">
        <v>7</v>
      </c>
      <c r="R2" t="n">
        <v>2</v>
      </c>
      <c r="S2" t="n">
        <v>17</v>
      </c>
      <c r="T2" t="n">
        <v>55</v>
      </c>
      <c r="U2" t="n">
        <v>7</v>
      </c>
      <c r="V2" s="2" t="inlineStr">
        <is>
          <t>Fältgentiana
Knärot
Dofttaggsvamp
Dropptaggsvamp
Ullticka
Vedskivlav
Vedtrappmossa
Björksplintborre
Blomkålssvamp
Blåmossa
Grovticka
Grön sköldmossa
Grönpyrola
Kornknutmossa
Mindre märgborre
Rödgul trumpetsvamp
Västlig hakmossa</t>
        </is>
      </c>
      <c r="W2">
        <f>HYPERLINK("https://klasma.github.io/Logging_0509/artfynd/S 1701-2025 artfynd.xlsx", "S 1701-2025")</f>
        <v/>
      </c>
      <c r="X2">
        <f>HYPERLINK("https://klasma.github.io/Logging_0509/kartor/S 1701-2025 karta.png", "S 1701-2025")</f>
        <v/>
      </c>
      <c r="Y2">
        <f>HYPERLINK("https://klasma.github.io/Logging_0509/kartor_geotiff/S 1701-2025 georefererad karta.tif", "S 1701-2025")</f>
        <v/>
      </c>
      <c r="Z2">
        <f>HYPERLINK("https://klasma.github.io/Logging_0509/knärot/S 1701-2025 karta knärot.png", "S 1701-2025")</f>
        <v/>
      </c>
      <c r="AA2">
        <f>HYPERLINK("https://klasma.github.io/Logging_0509/klagomål/S 1701-2025 FSC-klagomål.docx", "S 1701-2025")</f>
        <v/>
      </c>
      <c r="AB2">
        <f>HYPERLINK("https://klasma.github.io/Logging_0509/klagomålsmail/S 1701-2025 FSC-klagomål mail.docx", "S 1701-2025")</f>
        <v/>
      </c>
      <c r="AC2">
        <f>HYPERLINK("https://klasma.github.io/Logging_0509/tillsyn/S 1701-2025 tillsynsbegäran.docx", "S 1701-2025")</f>
        <v/>
      </c>
      <c r="AD2">
        <f>HYPERLINK("https://klasma.github.io/Logging_0509/tillsynsmail/S 1701-2025 tillsynsbegäran mail.docx", "S 1701-2025")</f>
        <v/>
      </c>
    </row>
    <row r="3" ht="15" customHeight="1">
      <c r="A3" t="inlineStr">
        <is>
          <t>A 36824-2026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46272</v>
      </c>
      <c r="E3" s="1" t="n">
        <v>46322</v>
      </c>
      <c r="F3" t="inlineStr">
        <is>
          <t>ÖSTERGÖTLANDS LÄN</t>
        </is>
      </c>
      <c r="G3" t="inlineStr">
        <is>
          <t>ÖDESHÖG</t>
        </is>
      </c>
      <c r="H3" t="inlineStr">
        <is>
          <t>Allmännings- och besparingsskogar</t>
        </is>
      </c>
      <c r="I3" t="n">
        <v>8</v>
      </c>
      <c r="J3" t="n">
        <v>5</v>
      </c>
      <c r="K3" t="n">
        <v>2</v>
      </c>
      <c r="L3" t="n">
        <v>3</v>
      </c>
      <c r="M3" t="n">
        <v>1</v>
      </c>
      <c r="N3" t="n">
        <v>0</v>
      </c>
      <c r="O3" t="n">
        <v>0</v>
      </c>
      <c r="P3" t="n">
        <v>0</v>
      </c>
      <c r="Q3" t="n">
        <v>4</v>
      </c>
      <c r="R3" t="n">
        <v>1</v>
      </c>
      <c r="S3" t="n">
        <v>8</v>
      </c>
      <c r="T3" t="n">
        <v>15</v>
      </c>
      <c r="U3" t="n">
        <v>15</v>
      </c>
      <c r="V3" s="2" t="inlineStr">
        <is>
          <t>Knärot
Fjällig taggsvamp s.str.
Talltita
Vedtrappmossa
Grön sköldmossa
Grönpyrola
Blåsippa
Spillkråka</t>
        </is>
      </c>
      <c r="W3">
        <f>HYPERLINK("https://klasma.github.io/Logging_0509/artfynd/A 36824-2026 artfynd.xlsx", "A 36824-2026")</f>
        <v/>
      </c>
      <c r="X3">
        <f>HYPERLINK("https://klasma.github.io/Logging_0509/kartor/A 36824-2026 karta.png", "A 36824-2026")</f>
        <v/>
      </c>
      <c r="Y3">
        <f>HYPERLINK("https://klasma.github.io/Logging_0509/kartor_geotiff/A 36824-2026 georefererad karta.tif", "A 36824-2026")</f>
        <v/>
      </c>
      <c r="Z3">
        <f>HYPERLINK("https://klasma.github.io/Logging_0509/knärot/A 36824-2026 karta knärot.png", "A 36824-2026")</f>
        <v/>
      </c>
      <c r="AA3">
        <f>HYPERLINK("https://klasma.github.io/Logging_0509/klagomål/A 36824-2026 FSC-klagomål.docx", "A 36824-2026")</f>
        <v/>
      </c>
      <c r="AB3">
        <f>HYPERLINK("https://klasma.github.io/Logging_0509/klagomålsmail/A 36824-2026 FSC-klagomål mail.docx", "A 36824-2026")</f>
        <v/>
      </c>
      <c r="AC3">
        <f>HYPERLINK("https://klasma.github.io/Logging_0509/tillsyn/A 36824-2026 tillsynsbegäran.docx", "A 36824-2026")</f>
        <v/>
      </c>
      <c r="AD3">
        <f>HYPERLINK("https://klasma.github.io/Logging_0509/tillsynsmail/A 36824-2026 tillsynsbegäran mail.docx", "A 36824-2026")</f>
        <v/>
      </c>
      <c r="AE3">
        <f>HYPERLINK("https://klasma.github.io/Logging_0509/fåglar/A 36824-2026 prioriterade fågelarter.docx", "A 36824-2026")</f>
        <v/>
      </c>
    </row>
    <row r="4" ht="15" customHeight="1">
      <c r="A4" t="inlineStr">
        <is>
          <t>A 37482-2026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46275</v>
      </c>
      <c r="E4" s="1" t="n">
        <v>46322</v>
      </c>
      <c r="F4" t="inlineStr">
        <is>
          <t>ÖSTERGÖTLANDS LÄN</t>
        </is>
      </c>
      <c r="G4" t="inlineStr">
        <is>
          <t>ÖDESHÖG</t>
        </is>
      </c>
      <c r="H4" t="inlineStr">
        <is>
          <t>Allmännings- och besparingsskogar</t>
        </is>
      </c>
      <c r="I4" t="n">
        <v>16.5</v>
      </c>
      <c r="J4" t="n">
        <v>3</v>
      </c>
      <c r="K4" t="n">
        <v>1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6</v>
      </c>
      <c r="T4" t="n">
        <v>12</v>
      </c>
      <c r="U4" t="n">
        <v>12</v>
      </c>
      <c r="V4" s="2" t="inlineStr">
        <is>
          <t>Dropptaggsvamp
Motaggsvamp
Talltita
Mindre märgborre
Spillkråka
Tofsmes</t>
        </is>
      </c>
      <c r="W4">
        <f>HYPERLINK("https://klasma.github.io/Logging_0509/artfynd/A 37482-2026 artfynd.xlsx", "A 37482-2026")</f>
        <v/>
      </c>
      <c r="X4">
        <f>HYPERLINK("https://klasma.github.io/Logging_0509/kartor/A 37482-2026 karta.png", "A 37482-2026")</f>
        <v/>
      </c>
      <c r="Y4">
        <f>HYPERLINK("https://klasma.github.io/Logging_0509/kartor_geotiff/A 37482-2026 georefererad karta.tif", "A 37482-2026")</f>
        <v/>
      </c>
      <c r="AA4">
        <f>HYPERLINK("https://klasma.github.io/Logging_0509/klagomål/A 37482-2026 FSC-klagomål.docx", "A 37482-2026")</f>
        <v/>
      </c>
      <c r="AB4">
        <f>HYPERLINK("https://klasma.github.io/Logging_0509/klagomålsmail/A 37482-2026 FSC-klagomål mail.docx", "A 37482-2026")</f>
        <v/>
      </c>
      <c r="AC4">
        <f>HYPERLINK("https://klasma.github.io/Logging_0509/tillsyn/A 37482-2026 tillsynsbegäran.docx", "A 37482-2026")</f>
        <v/>
      </c>
      <c r="AD4">
        <f>HYPERLINK("https://klasma.github.io/Logging_0509/tillsynsmail/A 37482-2026 tillsynsbegäran mail.docx", "A 37482-2026")</f>
        <v/>
      </c>
      <c r="AE4">
        <f>HYPERLINK("https://klasma.github.io/Logging_0509/fåglar/A 37482-2026 prioriterade fågelarter.docx", "A 37482-2026")</f>
        <v/>
      </c>
    </row>
    <row r="5" ht="15" customHeight="1">
      <c r="A5" t="inlineStr">
        <is>
          <t>A 11099-2025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45723</v>
      </c>
      <c r="E5" s="1" t="n">
        <v>46322</v>
      </c>
      <c r="F5" t="inlineStr">
        <is>
          <t>ÖSTERGÖTLANDS LÄN</t>
        </is>
      </c>
      <c r="G5" t="inlineStr">
        <is>
          <t>ÖDESHÖG</t>
        </is>
      </c>
      <c r="I5" t="n">
        <v>0.4</v>
      </c>
      <c r="J5" t="n">
        <v>1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3</v>
      </c>
      <c r="U5" t="n">
        <v>0</v>
      </c>
      <c r="V5" s="2" t="inlineStr">
        <is>
          <t>Strutbräken
Svart trolldruva
Gullviva</t>
        </is>
      </c>
      <c r="W5">
        <f>HYPERLINK("https://klasma.github.io/Logging_0509/artfynd/A 11099-2025 artfynd.xlsx", "A 11099-2025")</f>
        <v/>
      </c>
      <c r="X5">
        <f>HYPERLINK("https://klasma.github.io/Logging_0509/kartor/A 11099-2025 karta.png", "A 11099-2025")</f>
        <v/>
      </c>
      <c r="Y5">
        <f>HYPERLINK("https://klasma.github.io/Logging_0509/kartor_geotiff/A 11099-2025 georefererad karta.tif", "A 11099-2025")</f>
        <v/>
      </c>
      <c r="AA5">
        <f>HYPERLINK("https://klasma.github.io/Logging_0509/klagomål/A 11099-2025 FSC-klagomål.docx", "A 11099-2025")</f>
        <v/>
      </c>
      <c r="AB5">
        <f>HYPERLINK("https://klasma.github.io/Logging_0509/klagomålsmail/A 11099-2025 FSC-klagomål mail.docx", "A 11099-2025")</f>
        <v/>
      </c>
      <c r="AC5">
        <f>HYPERLINK("https://klasma.github.io/Logging_0509/tillsyn/A 11099-2025 tillsynsbegäran.docx", "A 11099-2025")</f>
        <v/>
      </c>
      <c r="AD5">
        <f>HYPERLINK("https://klasma.github.io/Logging_0509/tillsynsmail/A 11099-2025 tillsynsbegäran mail.docx", "A 11099-2025")</f>
        <v/>
      </c>
    </row>
    <row r="6" ht="15" customHeight="1">
      <c r="A6" t="inlineStr">
        <is>
          <t>A 20262-2022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44698</v>
      </c>
      <c r="E6" s="1" t="n">
        <v>46322</v>
      </c>
      <c r="F6" t="inlineStr">
        <is>
          <t>ÖSTERGÖTLANDS LÄN</t>
        </is>
      </c>
      <c r="G6" t="inlineStr">
        <is>
          <t>ÖDESHÖG</t>
        </is>
      </c>
      <c r="H6" t="inlineStr">
        <is>
          <t>Allmännings- och besparingsskogar</t>
        </is>
      </c>
      <c r="I6" t="n">
        <v>10.3</v>
      </c>
      <c r="J6" t="n">
        <v>1</v>
      </c>
      <c r="K6" t="n">
        <v>2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3</v>
      </c>
      <c r="T6" t="n">
        <v>4</v>
      </c>
      <c r="U6" t="n">
        <v>4</v>
      </c>
      <c r="V6" s="2" t="inlineStr">
        <is>
          <t>Knärot
Blåmossa
Mindre märgborre</t>
        </is>
      </c>
      <c r="W6">
        <f>HYPERLINK("https://klasma.github.io/Logging_0509/artfynd/A 20262-2022 artfynd.xlsx", "A 20262-2022")</f>
        <v/>
      </c>
      <c r="X6">
        <f>HYPERLINK("https://klasma.github.io/Logging_0509/kartor/A 20262-2022 karta.png", "A 20262-2022")</f>
        <v/>
      </c>
      <c r="Y6">
        <f>HYPERLINK("https://klasma.github.io/Logging_0509/kartor_geotiff/A 20262-2022 georefererad karta.tif", "A 20262-2022")</f>
        <v/>
      </c>
      <c r="Z6">
        <f>HYPERLINK("https://klasma.github.io/Logging_0509/knärot/A 20262-2022 karta knärot.png", "A 20262-2022")</f>
        <v/>
      </c>
      <c r="AA6">
        <f>HYPERLINK("https://klasma.github.io/Logging_0509/klagomål/A 20262-2022 FSC-klagomål.docx", "A 20262-2022")</f>
        <v/>
      </c>
      <c r="AB6">
        <f>HYPERLINK("https://klasma.github.io/Logging_0509/klagomålsmail/A 20262-2022 FSC-klagomål mail.docx", "A 20262-2022")</f>
        <v/>
      </c>
      <c r="AC6">
        <f>HYPERLINK("https://klasma.github.io/Logging_0509/tillsyn/A 20262-2022 tillsynsbegäran.docx", "A 20262-2022")</f>
        <v/>
      </c>
      <c r="AD6">
        <f>HYPERLINK("https://klasma.github.io/Logging_0509/tillsynsmail/A 20262-2022 tillsynsbegäran mail.docx", "A 20262-2022")</f>
        <v/>
      </c>
    </row>
    <row r="7" ht="15" customHeight="1">
      <c r="A7" t="inlineStr">
        <is>
          <t>A 15823-2022</t>
        </is>
      </c>
      <c r="B7" t="inlineStr">
        <is>
          <t>avverkningsanmälan</t>
        </is>
      </c>
      <c r="C7" t="inlineStr">
        <is>
          <t>Avverkning för att bevara och utveckla /försöksver</t>
        </is>
      </c>
      <c r="D7" s="1" t="n">
        <v>44664</v>
      </c>
      <c r="E7" s="1" t="n">
        <v>46322</v>
      </c>
      <c r="F7" t="inlineStr">
        <is>
          <t>ÖSTERGÖTLANDS LÄN</t>
        </is>
      </c>
      <c r="G7" t="inlineStr">
        <is>
          <t>ÖDESHÖG</t>
        </is>
      </c>
      <c r="H7" t="inlineStr">
        <is>
          <t>Sveaskog</t>
        </is>
      </c>
      <c r="I7" t="n">
        <v>6.5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2</v>
      </c>
      <c r="U7" t="n">
        <v>1</v>
      </c>
      <c r="V7" s="2" t="inlineStr">
        <is>
          <t>Trubbfjädermossa
Hasselmus</t>
        </is>
      </c>
      <c r="W7">
        <f>HYPERLINK("https://klasma.github.io/Logging_0509/artfynd/A 15823-2022 artfynd.xlsx", "A 15823-2022")</f>
        <v/>
      </c>
      <c r="X7">
        <f>HYPERLINK("https://klasma.github.io/Logging_0509/kartor/A 15823-2022 karta.png", "A 15823-2022")</f>
        <v/>
      </c>
      <c r="Y7">
        <f>HYPERLINK("https://klasma.github.io/Logging_0509/kartor_geotiff/A 15823-2022 georefererad karta.tif", "A 15823-2022")</f>
        <v/>
      </c>
      <c r="AA7">
        <f>HYPERLINK("https://klasma.github.io/Logging_0509/klagomål/A 15823-2022 FSC-klagomål.docx", "A 15823-2022")</f>
        <v/>
      </c>
      <c r="AB7">
        <f>HYPERLINK("https://klasma.github.io/Logging_0509/klagomålsmail/A 15823-2022 FSC-klagomål mail.docx", "A 15823-2022")</f>
        <v/>
      </c>
      <c r="AC7">
        <f>HYPERLINK("https://klasma.github.io/Logging_0509/tillsyn/A 15823-2022 tillsynsbegäran.docx", "A 15823-2022")</f>
        <v/>
      </c>
      <c r="AD7">
        <f>HYPERLINK("https://klasma.github.io/Logging_0509/tillsynsmail/A 15823-2022 tillsynsbegäran mail.docx", "A 15823-2022")</f>
        <v/>
      </c>
    </row>
    <row r="8" ht="15" customHeight="1">
      <c r="A8" t="inlineStr">
        <is>
          <t>A 56797-2023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45244</v>
      </c>
      <c r="E8" s="1" t="n">
        <v>46322</v>
      </c>
      <c r="F8" t="inlineStr">
        <is>
          <t>ÖSTERGÖTLANDS LÄN</t>
        </is>
      </c>
      <c r="G8" t="inlineStr">
        <is>
          <t>ÖDESHÖG</t>
        </is>
      </c>
      <c r="I8" t="n">
        <v>1.9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2</v>
      </c>
      <c r="T8" t="n">
        <v>2</v>
      </c>
      <c r="U8" t="n">
        <v>2</v>
      </c>
      <c r="V8" s="2" t="inlineStr">
        <is>
          <t>Jungfrulin
Svinrot</t>
        </is>
      </c>
      <c r="W8">
        <f>HYPERLINK("https://klasma.github.io/Logging_0509/artfynd/A 56797-2023 artfynd.xlsx", "A 56797-2023")</f>
        <v/>
      </c>
      <c r="X8">
        <f>HYPERLINK("https://klasma.github.io/Logging_0509/kartor/A 56797-2023 karta.png", "A 56797-2023")</f>
        <v/>
      </c>
      <c r="Y8">
        <f>HYPERLINK("https://klasma.github.io/Logging_0509/kartor_geotiff/A 56797-2023 georefererad karta.tif", "A 56797-2023")</f>
        <v/>
      </c>
      <c r="AA8">
        <f>HYPERLINK("https://klasma.github.io/Logging_0509/klagomål/A 56797-2023 FSC-klagomål.docx", "A 56797-2023")</f>
        <v/>
      </c>
      <c r="AB8">
        <f>HYPERLINK("https://klasma.github.io/Logging_0509/klagomålsmail/A 56797-2023 FSC-klagomål mail.docx", "A 56797-2023")</f>
        <v/>
      </c>
      <c r="AC8">
        <f>HYPERLINK("https://klasma.github.io/Logging_0509/tillsyn/A 56797-2023 tillsynsbegäran.docx", "A 56797-2023")</f>
        <v/>
      </c>
      <c r="AD8">
        <f>HYPERLINK("https://klasma.github.io/Logging_0509/tillsynsmail/A 56797-2023 tillsynsbegäran mail.docx", "A 56797-2023")</f>
        <v/>
      </c>
    </row>
    <row r="9" ht="15" customHeight="1">
      <c r="A9" t="inlineStr">
        <is>
          <t>A 35443-2022</t>
        </is>
      </c>
      <c r="B9" t="inlineStr">
        <is>
          <t>avverkningsanmälan</t>
        </is>
      </c>
      <c r="C9" t="inlineStr">
        <is>
          <t>Avverkning för annat ändamål</t>
        </is>
      </c>
      <c r="D9" s="1" t="n">
        <v>44798</v>
      </c>
      <c r="E9" s="1" t="n">
        <v>46322</v>
      </c>
      <c r="F9" t="inlineStr">
        <is>
          <t>ÖSTERGÖTLANDS LÄN</t>
        </is>
      </c>
      <c r="G9" t="inlineStr">
        <is>
          <t>ÖDESHÖG</t>
        </is>
      </c>
      <c r="I9" t="n">
        <v>4.7</v>
      </c>
      <c r="J9" t="n">
        <v>1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2</v>
      </c>
      <c r="T9" t="n">
        <v>2</v>
      </c>
      <c r="U9" t="n">
        <v>2</v>
      </c>
      <c r="V9" s="2" t="inlineStr">
        <is>
          <t>Axveronika
Bivråk</t>
        </is>
      </c>
      <c r="W9">
        <f>HYPERLINK("https://klasma.github.io/Logging_0509/artfynd/A 35443-2022 artfynd.xlsx", "A 35443-2022")</f>
        <v/>
      </c>
      <c r="X9">
        <f>HYPERLINK("https://klasma.github.io/Logging_0509/kartor/A 35443-2022 karta.png", "A 35443-2022")</f>
        <v/>
      </c>
      <c r="Y9">
        <f>HYPERLINK("https://klasma.github.io/Logging_0509/kartor_geotiff/A 35443-2022 georefererad karta.tif", "A 35443-2022")</f>
        <v/>
      </c>
      <c r="AA9">
        <f>HYPERLINK("https://klasma.github.io/Logging_0509/klagomål/A 35443-2022 FSC-klagomål.docx", "A 35443-2022")</f>
        <v/>
      </c>
      <c r="AB9">
        <f>HYPERLINK("https://klasma.github.io/Logging_0509/klagomålsmail/A 35443-2022 FSC-klagomål mail.docx", "A 35443-2022")</f>
        <v/>
      </c>
      <c r="AC9">
        <f>HYPERLINK("https://klasma.github.io/Logging_0509/tillsyn/A 35443-2022 tillsynsbegäran.docx", "A 35443-2022")</f>
        <v/>
      </c>
      <c r="AD9">
        <f>HYPERLINK("https://klasma.github.io/Logging_0509/tillsynsmail/A 35443-2022 tillsynsbegäran mail.docx", "A 35443-2022")</f>
        <v/>
      </c>
      <c r="AE9">
        <f>HYPERLINK("https://klasma.github.io/Logging_0509/fåglar/A 35443-2022 prioriterade fågelarter.docx", "A 35443-2022")</f>
        <v/>
      </c>
    </row>
    <row r="10" ht="15" customHeight="1">
      <c r="A10" t="inlineStr">
        <is>
          <t>A 71034-2021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44538</v>
      </c>
      <c r="E10" s="1" t="n">
        <v>46322</v>
      </c>
      <c r="F10" t="inlineStr">
        <is>
          <t>ÖSTERGÖTLANDS LÄN</t>
        </is>
      </c>
      <c r="G10" t="inlineStr">
        <is>
          <t>ÖDESHÖG</t>
        </is>
      </c>
      <c r="I10" t="n">
        <v>1.8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s="2" t="inlineStr">
        <is>
          <t>Hässleklocka</t>
        </is>
      </c>
      <c r="W10">
        <f>HYPERLINK("https://klasma.github.io/Logging_0509/artfynd/A 71034-2021 artfynd.xlsx", "A 71034-2021")</f>
        <v/>
      </c>
      <c r="X10">
        <f>HYPERLINK("https://klasma.github.io/Logging_0509/kartor/A 71034-2021 karta.png", "A 71034-2021")</f>
        <v/>
      </c>
      <c r="Y10">
        <f>HYPERLINK("https://klasma.github.io/Logging_0509/kartor_geotiff/A 71034-2021 georefererad karta.tif", "A 71034-2021")</f>
        <v/>
      </c>
      <c r="AA10">
        <f>HYPERLINK("https://klasma.github.io/Logging_0509/klagomål/A 71034-2021 FSC-klagomål.docx", "A 71034-2021")</f>
        <v/>
      </c>
      <c r="AB10">
        <f>HYPERLINK("https://klasma.github.io/Logging_0509/klagomålsmail/A 71034-2021 FSC-klagomål mail.docx", "A 71034-2021")</f>
        <v/>
      </c>
      <c r="AC10">
        <f>HYPERLINK("https://klasma.github.io/Logging_0509/tillsyn/A 71034-2021 tillsynsbegäran.docx", "A 71034-2021")</f>
        <v/>
      </c>
      <c r="AD10">
        <f>HYPERLINK("https://klasma.github.io/Logging_0509/tillsynsmail/A 71034-2021 tillsynsbegäran mail.docx", "A 71034-2021")</f>
        <v/>
      </c>
    </row>
    <row r="11" ht="15" customHeight="1">
      <c r="A11" t="inlineStr">
        <is>
          <t>A 71038-2021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44538</v>
      </c>
      <c r="E11" s="1" t="n">
        <v>46322</v>
      </c>
      <c r="F11" t="inlineStr">
        <is>
          <t>ÖSTERGÖTLANDS LÄN</t>
        </is>
      </c>
      <c r="G11" t="inlineStr">
        <is>
          <t>ÖDESHÖG</t>
        </is>
      </c>
      <c r="I11" t="n">
        <v>3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s="2" t="inlineStr">
        <is>
          <t>Stubbspretmossa</t>
        </is>
      </c>
      <c r="W11">
        <f>HYPERLINK("https://klasma.github.io/Logging_0509/artfynd/A 71038-2021 artfynd.xlsx", "A 71038-2021")</f>
        <v/>
      </c>
      <c r="X11">
        <f>HYPERLINK("https://klasma.github.io/Logging_0509/kartor/A 71038-2021 karta.png", "A 71038-2021")</f>
        <v/>
      </c>
      <c r="Y11">
        <f>HYPERLINK("https://klasma.github.io/Logging_0509/kartor_geotiff/A 71038-2021 georefererad karta.tif", "A 71038-2021")</f>
        <v/>
      </c>
      <c r="AA11">
        <f>HYPERLINK("https://klasma.github.io/Logging_0509/klagomål/A 71038-2021 FSC-klagomål.docx", "A 71038-2021")</f>
        <v/>
      </c>
      <c r="AB11">
        <f>HYPERLINK("https://klasma.github.io/Logging_0509/klagomålsmail/A 71038-2021 FSC-klagomål mail.docx", "A 71038-2021")</f>
        <v/>
      </c>
      <c r="AC11">
        <f>HYPERLINK("https://klasma.github.io/Logging_0509/tillsyn/A 71038-2021 tillsynsbegäran.docx", "A 71038-2021")</f>
        <v/>
      </c>
      <c r="AD11">
        <f>HYPERLINK("https://klasma.github.io/Logging_0509/tillsynsmail/A 71038-2021 tillsynsbegäran mail.docx", "A 71038-2021")</f>
        <v/>
      </c>
    </row>
    <row r="12" ht="15" customHeight="1">
      <c r="A12" t="inlineStr">
        <is>
          <t>A 58551-2023</t>
        </is>
      </c>
      <c r="B12" t="inlineStr">
        <is>
          <t>avverkningsanmälan</t>
        </is>
      </c>
      <c r="C12" t="inlineStr">
        <is>
          <t>Avverkning för att bevara och utveckla /försöksver</t>
        </is>
      </c>
      <c r="D12" s="1" t="n">
        <v>45251</v>
      </c>
      <c r="E12" s="1" t="n">
        <v>46322</v>
      </c>
      <c r="F12" t="inlineStr">
        <is>
          <t>ÖSTERGÖTLANDS LÄN</t>
        </is>
      </c>
      <c r="G12" t="inlineStr">
        <is>
          <t>ÖDESHÖG</t>
        </is>
      </c>
      <c r="I12" t="n">
        <v>0.8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s="2" t="inlineStr">
        <is>
          <t>Blåsippa</t>
        </is>
      </c>
      <c r="W12">
        <f>HYPERLINK("https://klasma.github.io/Logging_0509/artfynd/A 58551-2023 artfynd.xlsx", "A 58551-2023")</f>
        <v/>
      </c>
      <c r="X12">
        <f>HYPERLINK("https://klasma.github.io/Logging_0509/kartor/A 58551-2023 karta.png", "A 58551-2023")</f>
        <v/>
      </c>
      <c r="Y12">
        <f>HYPERLINK("https://klasma.github.io/Logging_0509/kartor_geotiff/A 58551-2023 georefererad karta.tif", "A 58551-2023")</f>
        <v/>
      </c>
      <c r="AA12">
        <f>HYPERLINK("https://klasma.github.io/Logging_0509/klagomål/A 58551-2023 FSC-klagomål.docx", "A 58551-2023")</f>
        <v/>
      </c>
      <c r="AB12">
        <f>HYPERLINK("https://klasma.github.io/Logging_0509/klagomålsmail/A 58551-2023 FSC-klagomål mail.docx", "A 58551-2023")</f>
        <v/>
      </c>
      <c r="AC12">
        <f>HYPERLINK("https://klasma.github.io/Logging_0509/tillsyn/A 58551-2023 tillsynsbegäran.docx", "A 58551-2023")</f>
        <v/>
      </c>
      <c r="AD12">
        <f>HYPERLINK("https://klasma.github.io/Logging_0509/tillsynsmail/A 58551-2023 tillsynsbegäran mail.docx", "A 58551-2023")</f>
        <v/>
      </c>
    </row>
    <row r="13" ht="15" customHeight="1">
      <c r="A13" t="inlineStr">
        <is>
          <t>A 50774-2023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45210</v>
      </c>
      <c r="E13" s="1" t="n">
        <v>46322</v>
      </c>
      <c r="F13" t="inlineStr">
        <is>
          <t>ÖSTERGÖTLANDS LÄN</t>
        </is>
      </c>
      <c r="G13" t="inlineStr">
        <is>
          <t>ÖDESHÖG</t>
        </is>
      </c>
      <c r="I13" t="n">
        <v>9.5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s="2" t="inlineStr">
        <is>
          <t>Mörk dunört</t>
        </is>
      </c>
      <c r="W13">
        <f>HYPERLINK("https://klasma.github.io/Logging_0509/artfynd/A 50774-2023 artfynd.xlsx", "A 50774-2023")</f>
        <v/>
      </c>
      <c r="X13">
        <f>HYPERLINK("https://klasma.github.io/Logging_0509/kartor/A 50774-2023 karta.png", "A 50774-2023")</f>
        <v/>
      </c>
      <c r="Y13">
        <f>HYPERLINK("https://klasma.github.io/Logging_0509/kartor_geotiff/A 50774-2023 georefererad karta.tif", "A 50774-2023")</f>
        <v/>
      </c>
      <c r="AA13">
        <f>HYPERLINK("https://klasma.github.io/Logging_0509/klagomål/A 50774-2023 FSC-klagomål.docx", "A 50774-2023")</f>
        <v/>
      </c>
      <c r="AB13">
        <f>HYPERLINK("https://klasma.github.io/Logging_0509/klagomålsmail/A 50774-2023 FSC-klagomål mail.docx", "A 50774-2023")</f>
        <v/>
      </c>
      <c r="AC13">
        <f>HYPERLINK("https://klasma.github.io/Logging_0509/tillsyn/A 50774-2023 tillsynsbegäran.docx", "A 50774-2023")</f>
        <v/>
      </c>
      <c r="AD13">
        <f>HYPERLINK("https://klasma.github.io/Logging_0509/tillsynsmail/A 50774-2023 tillsynsbegäran mail.docx", "A 50774-2023")</f>
        <v/>
      </c>
    </row>
    <row r="14" ht="15" customHeight="1">
      <c r="A14" t="inlineStr">
        <is>
          <t>A 32776-2025</t>
        </is>
      </c>
      <c r="B14" t="inlineStr">
        <is>
          <t>avverkningsanmälan</t>
        </is>
      </c>
      <c r="C14" t="inlineStr">
        <is>
          <t>Avverkning för att bevara och utveckla /försöksver</t>
        </is>
      </c>
      <c r="D14" s="1" t="n">
        <v>45839</v>
      </c>
      <c r="E14" s="1" t="n">
        <v>46322</v>
      </c>
      <c r="F14" t="inlineStr">
        <is>
          <t>ÖSTERGÖTLANDS LÄN</t>
        </is>
      </c>
      <c r="G14" t="inlineStr">
        <is>
          <t>ÖDESHÖG</t>
        </is>
      </c>
      <c r="I14" t="n">
        <v>1.3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s="2" t="inlineStr">
        <is>
          <t>Smalsprötad bastardsvärmare</t>
        </is>
      </c>
      <c r="W14">
        <f>HYPERLINK("https://klasma.github.io/Logging_0509/artfynd/A 32776-2025 artfynd.xlsx", "A 32776-2025")</f>
        <v/>
      </c>
      <c r="X14">
        <f>HYPERLINK("https://klasma.github.io/Logging_0509/kartor/A 32776-2025 karta.png", "A 32776-2025")</f>
        <v/>
      </c>
      <c r="Y14">
        <f>HYPERLINK("https://klasma.github.io/Logging_0509/kartor_geotiff/A 32776-2025 georefererad karta.tif", "A 32776-2025")</f>
        <v/>
      </c>
      <c r="AA14">
        <f>HYPERLINK("https://klasma.github.io/Logging_0509/klagomål/A 32776-2025 FSC-klagomål.docx", "A 32776-2025")</f>
        <v/>
      </c>
      <c r="AB14">
        <f>HYPERLINK("https://klasma.github.io/Logging_0509/klagomålsmail/A 32776-2025 FSC-klagomål mail.docx", "A 32776-2025")</f>
        <v/>
      </c>
      <c r="AC14">
        <f>HYPERLINK("https://klasma.github.io/Logging_0509/tillsyn/A 32776-2025 tillsynsbegäran.docx", "A 32776-2025")</f>
        <v/>
      </c>
      <c r="AD14">
        <f>HYPERLINK("https://klasma.github.io/Logging_0509/tillsynsmail/A 32776-2025 tillsynsbegäran mail.docx", "A 32776-2025")</f>
        <v/>
      </c>
    </row>
    <row r="15" ht="15" customHeight="1">
      <c r="A15" t="inlineStr">
        <is>
          <t>A 15437-2025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45747</v>
      </c>
      <c r="E15" s="1" t="n">
        <v>46322</v>
      </c>
      <c r="F15" t="inlineStr">
        <is>
          <t>ÖSTERGÖTLANDS LÄN</t>
        </is>
      </c>
      <c r="G15" t="inlineStr">
        <is>
          <t>ÖDESHÖG</t>
        </is>
      </c>
      <c r="H15" t="inlineStr">
        <is>
          <t>Allmännings- och besparingsskogar</t>
        </is>
      </c>
      <c r="I15" t="n">
        <v>11.9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s="2" t="inlineStr">
        <is>
          <t>Knärot</t>
        </is>
      </c>
      <c r="W15">
        <f>HYPERLINK("https://klasma.github.io/Logging_0509/artfynd/A 15437-2025 artfynd.xlsx", "A 15437-2025")</f>
        <v/>
      </c>
      <c r="X15">
        <f>HYPERLINK("https://klasma.github.io/Logging_0509/kartor/A 15437-2025 karta.png", "A 15437-2025")</f>
        <v/>
      </c>
      <c r="Y15">
        <f>HYPERLINK("https://klasma.github.io/Logging_0509/kartor_geotiff/A 15437-2025 georefererad karta.tif", "A 15437-2025")</f>
        <v/>
      </c>
      <c r="Z15">
        <f>HYPERLINK("https://klasma.github.io/Logging_0509/knärot/A 15437-2025 karta knärot.png", "A 15437-2025")</f>
        <v/>
      </c>
      <c r="AA15">
        <f>HYPERLINK("https://klasma.github.io/Logging_0509/klagomål/A 15437-2025 FSC-klagomål.docx", "A 15437-2025")</f>
        <v/>
      </c>
      <c r="AB15">
        <f>HYPERLINK("https://klasma.github.io/Logging_0509/klagomålsmail/A 15437-2025 FSC-klagomål mail.docx", "A 15437-2025")</f>
        <v/>
      </c>
      <c r="AC15">
        <f>HYPERLINK("https://klasma.github.io/Logging_0509/tillsyn/A 15437-2025 tillsynsbegäran.docx", "A 15437-2025")</f>
        <v/>
      </c>
      <c r="AD15">
        <f>HYPERLINK("https://klasma.github.io/Logging_0509/tillsynsmail/A 15437-2025 tillsynsbegäran mail.docx", "A 15437-2025")</f>
        <v/>
      </c>
    </row>
    <row r="16" ht="15" customHeight="1">
      <c r="A16" t="inlineStr">
        <is>
          <t>A 32713-2024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45516</v>
      </c>
      <c r="E16" s="1" t="n">
        <v>46322</v>
      </c>
      <c r="F16" t="inlineStr">
        <is>
          <t>ÖSTERGÖTLANDS LÄN</t>
        </is>
      </c>
      <c r="G16" t="inlineStr">
        <is>
          <t>ÖDESHÖG</t>
        </is>
      </c>
      <c r="I16" t="n">
        <v>6.1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0</v>
      </c>
      <c r="V16" s="2" t="inlineStr">
        <is>
          <t>Kristinspindling</t>
        </is>
      </c>
      <c r="W16">
        <f>HYPERLINK("https://klasma.github.io/Logging_0509/artfynd/A 32713-2024 artfynd.xlsx", "A 32713-2024")</f>
        <v/>
      </c>
      <c r="X16">
        <f>HYPERLINK("https://klasma.github.io/Logging_0509/kartor/A 32713-2024 karta.png", "A 32713-2024")</f>
        <v/>
      </c>
      <c r="Y16">
        <f>HYPERLINK("https://klasma.github.io/Logging_0509/kartor_geotiff/A 32713-2024 georefererad karta.tif", "A 32713-2024")</f>
        <v/>
      </c>
      <c r="AA16">
        <f>HYPERLINK("https://klasma.github.io/Logging_0509/klagomål/A 32713-2024 FSC-klagomål.docx", "A 32713-2024")</f>
        <v/>
      </c>
      <c r="AB16">
        <f>HYPERLINK("https://klasma.github.io/Logging_0509/klagomålsmail/A 32713-2024 FSC-klagomål mail.docx", "A 32713-2024")</f>
        <v/>
      </c>
      <c r="AC16">
        <f>HYPERLINK("https://klasma.github.io/Logging_0509/tillsyn/A 32713-2024 tillsynsbegäran.docx", "A 32713-2024")</f>
        <v/>
      </c>
      <c r="AD16">
        <f>HYPERLINK("https://klasma.github.io/Logging_0509/tillsynsmail/A 32713-2024 tillsynsbegäran mail.docx", "A 32713-2024")</f>
        <v/>
      </c>
    </row>
    <row r="17" ht="15" customHeight="1">
      <c r="A17" t="inlineStr">
        <is>
          <t>A 62988-2023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45272</v>
      </c>
      <c r="E17" s="1" t="n">
        <v>46322</v>
      </c>
      <c r="F17" t="inlineStr">
        <is>
          <t>ÖSTERGÖTLANDS LÄN</t>
        </is>
      </c>
      <c r="G17" t="inlineStr">
        <is>
          <t>ÖDESHÖG</t>
        </is>
      </c>
      <c r="H17" t="inlineStr">
        <is>
          <t>Allmännings- och besparingsskogar</t>
        </is>
      </c>
      <c r="I17" t="n">
        <v>19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s="2" t="inlineStr">
        <is>
          <t>Skogsalm</t>
        </is>
      </c>
      <c r="W17">
        <f>HYPERLINK("https://klasma.github.io/Logging_0509/artfynd/A 62988-2023 artfynd.xlsx", "A 62988-2023")</f>
        <v/>
      </c>
      <c r="X17">
        <f>HYPERLINK("https://klasma.github.io/Logging_0509/kartor/A 62988-2023 karta.png", "A 62988-2023")</f>
        <v/>
      </c>
      <c r="Y17">
        <f>HYPERLINK("https://klasma.github.io/Logging_0509/kartor_geotiff/A 62988-2023 georefererad karta.tif", "A 62988-2023")</f>
        <v/>
      </c>
      <c r="AA17">
        <f>HYPERLINK("https://klasma.github.io/Logging_0509/klagomål/A 62988-2023 FSC-klagomål.docx", "A 62988-2023")</f>
        <v/>
      </c>
      <c r="AB17">
        <f>HYPERLINK("https://klasma.github.io/Logging_0509/klagomålsmail/A 62988-2023 FSC-klagomål mail.docx", "A 62988-2023")</f>
        <v/>
      </c>
      <c r="AC17">
        <f>HYPERLINK("https://klasma.github.io/Logging_0509/tillsyn/A 62988-2023 tillsynsbegäran.docx", "A 62988-2023")</f>
        <v/>
      </c>
      <c r="AD17">
        <f>HYPERLINK("https://klasma.github.io/Logging_0509/tillsynsmail/A 62988-2023 tillsynsbegäran mail.docx", "A 62988-2023")</f>
        <v/>
      </c>
    </row>
    <row r="18" ht="15" customHeight="1">
      <c r="A18" t="inlineStr">
        <is>
          <t>A 38720-2023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45163</v>
      </c>
      <c r="E18" s="1" t="n">
        <v>46322</v>
      </c>
      <c r="F18" t="inlineStr">
        <is>
          <t>ÖSTERGÖTLANDS LÄN</t>
        </is>
      </c>
      <c r="G18" t="inlineStr">
        <is>
          <t>ÖDESHÖG</t>
        </is>
      </c>
      <c r="I18" t="n">
        <v>3.1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s="2" t="inlineStr">
        <is>
          <t>Hässleklocka</t>
        </is>
      </c>
      <c r="W18">
        <f>HYPERLINK("https://klasma.github.io/Logging_0509/artfynd/A 38720-2023 artfynd.xlsx", "A 38720-2023")</f>
        <v/>
      </c>
      <c r="X18">
        <f>HYPERLINK("https://klasma.github.io/Logging_0509/kartor/A 38720-2023 karta.png", "A 38720-2023")</f>
        <v/>
      </c>
      <c r="Y18">
        <f>HYPERLINK("https://klasma.github.io/Logging_0509/kartor_geotiff/A 38720-2023 georefererad karta.tif", "A 38720-2023")</f>
        <v/>
      </c>
      <c r="AA18">
        <f>HYPERLINK("https://klasma.github.io/Logging_0509/klagomål/A 38720-2023 FSC-klagomål.docx", "A 38720-2023")</f>
        <v/>
      </c>
      <c r="AB18">
        <f>HYPERLINK("https://klasma.github.io/Logging_0509/klagomålsmail/A 38720-2023 FSC-klagomål mail.docx", "A 38720-2023")</f>
        <v/>
      </c>
      <c r="AC18">
        <f>HYPERLINK("https://klasma.github.io/Logging_0509/tillsyn/A 38720-2023 tillsynsbegäran.docx", "A 38720-2023")</f>
        <v/>
      </c>
      <c r="AD18">
        <f>HYPERLINK("https://klasma.github.io/Logging_0509/tillsynsmail/A 38720-2023 tillsynsbegäran mail.docx", "A 38720-2023")</f>
        <v/>
      </c>
    </row>
    <row r="19" ht="15" customHeight="1">
      <c r="A19" t="inlineStr">
        <is>
          <t>A 56637-2023</t>
        </is>
      </c>
      <c r="B19" t="inlineStr">
        <is>
          <t>avverkningsanmälan</t>
        </is>
      </c>
      <c r="C19" t="inlineStr">
        <is>
          <t>Avverkning för annat ändamål</t>
        </is>
      </c>
      <c r="D19" s="1" t="n">
        <v>45243</v>
      </c>
      <c r="E19" s="1" t="n">
        <v>46322</v>
      </c>
      <c r="F19" t="inlineStr">
        <is>
          <t>ÖSTERGÖTLANDS LÄN</t>
        </is>
      </c>
      <c r="G19" t="inlineStr">
        <is>
          <t>ÖDESHÖG</t>
        </is>
      </c>
      <c r="I19" t="n">
        <v>2.9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s="2" t="inlineStr">
        <is>
          <t>Skogsalm</t>
        </is>
      </c>
      <c r="W19">
        <f>HYPERLINK("https://klasma.github.io/Logging_0509/artfynd/A 56637-2023 artfynd.xlsx", "A 56637-2023")</f>
        <v/>
      </c>
      <c r="X19">
        <f>HYPERLINK("https://klasma.github.io/Logging_0509/kartor/A 56637-2023 karta.png", "A 56637-2023")</f>
        <v/>
      </c>
      <c r="Y19">
        <f>HYPERLINK("https://klasma.github.io/Logging_0509/kartor_geotiff/A 56637-2023 georefererad karta.tif", "A 56637-2023")</f>
        <v/>
      </c>
      <c r="AA19">
        <f>HYPERLINK("https://klasma.github.io/Logging_0509/klagomål/A 56637-2023 FSC-klagomål.docx", "A 56637-2023")</f>
        <v/>
      </c>
      <c r="AB19">
        <f>HYPERLINK("https://klasma.github.io/Logging_0509/klagomålsmail/A 56637-2023 FSC-klagomål mail.docx", "A 56637-2023")</f>
        <v/>
      </c>
      <c r="AC19">
        <f>HYPERLINK("https://klasma.github.io/Logging_0509/tillsyn/A 56637-2023 tillsynsbegäran.docx", "A 56637-2023")</f>
        <v/>
      </c>
      <c r="AD19">
        <f>HYPERLINK("https://klasma.github.io/Logging_0509/tillsynsmail/A 56637-2023 tillsynsbegäran mail.docx", "A 56637-2023")</f>
        <v/>
      </c>
    </row>
    <row r="20" ht="15" customHeight="1">
      <c r="A20" t="inlineStr">
        <is>
          <t>A 4772-2022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44592</v>
      </c>
      <c r="E20" s="1" t="n">
        <v>46322</v>
      </c>
      <c r="F20" t="inlineStr">
        <is>
          <t>ÖSTERGÖTLANDS LÄN</t>
        </is>
      </c>
      <c r="G20" t="inlineStr">
        <is>
          <t>ÖDESHÖG</t>
        </is>
      </c>
      <c r="I20" t="n">
        <v>1.2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s="2" t="inlineStr">
        <is>
          <t>Ask</t>
        </is>
      </c>
      <c r="W20">
        <f>HYPERLINK("https://klasma.github.io/Logging_0509/artfynd/A 4772-2022 artfynd.xlsx", "A 4772-2022")</f>
        <v/>
      </c>
      <c r="X20">
        <f>HYPERLINK("https://klasma.github.io/Logging_0509/kartor/A 4772-2022 karta.png", "A 4772-2022")</f>
        <v/>
      </c>
      <c r="Y20">
        <f>HYPERLINK("https://klasma.github.io/Logging_0509/kartor_geotiff/A 4772-2022 georefererad karta.tif", "A 4772-2022")</f>
        <v/>
      </c>
      <c r="AA20">
        <f>HYPERLINK("https://klasma.github.io/Logging_0509/klagomål/A 4772-2022 FSC-klagomål.docx", "A 4772-2022")</f>
        <v/>
      </c>
      <c r="AB20">
        <f>HYPERLINK("https://klasma.github.io/Logging_0509/klagomålsmail/A 4772-2022 FSC-klagomål mail.docx", "A 4772-2022")</f>
        <v/>
      </c>
      <c r="AC20">
        <f>HYPERLINK("https://klasma.github.io/Logging_0509/tillsyn/A 4772-2022 tillsynsbegäran.docx", "A 4772-2022")</f>
        <v/>
      </c>
      <c r="AD20">
        <f>HYPERLINK("https://klasma.github.io/Logging_0509/tillsynsmail/A 4772-2022 tillsynsbegäran mail.docx", "A 4772-2022")</f>
        <v/>
      </c>
    </row>
    <row r="21" ht="15" customHeight="1">
      <c r="A21" t="inlineStr">
        <is>
          <t>A 63666-2021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44509</v>
      </c>
      <c r="E21" s="1" t="n">
        <v>46322</v>
      </c>
      <c r="F21" t="inlineStr">
        <is>
          <t>ÖSTERGÖTLANDS LÄN</t>
        </is>
      </c>
      <c r="G21" t="inlineStr">
        <is>
          <t>ÖDESHÖG</t>
        </is>
      </c>
      <c r="I21" t="n">
        <v>0.5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71029-2021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44538</v>
      </c>
      <c r="E22" s="1" t="n">
        <v>46322</v>
      </c>
      <c r="F22" t="inlineStr">
        <is>
          <t>ÖSTERGÖTLANDS LÄN</t>
        </is>
      </c>
      <c r="G22" t="inlineStr">
        <is>
          <t>ÖDESHÖG</t>
        </is>
      </c>
      <c r="I22" t="n">
        <v>0.4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8913-2022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44614</v>
      </c>
      <c r="E23" s="1" t="n">
        <v>46322</v>
      </c>
      <c r="F23" t="inlineStr">
        <is>
          <t>ÖSTERGÖTLANDS LÄN</t>
        </is>
      </c>
      <c r="G23" t="inlineStr">
        <is>
          <t>ÖDESHÖG</t>
        </is>
      </c>
      <c r="I23" t="n">
        <v>0.5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3122-2022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44582</v>
      </c>
      <c r="E24" s="1" t="n">
        <v>46322</v>
      </c>
      <c r="F24" t="inlineStr">
        <is>
          <t>ÖSTERGÖTLANDS LÄN</t>
        </is>
      </c>
      <c r="G24" t="inlineStr">
        <is>
          <t>ÖDESHÖG</t>
        </is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36124-2022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44803</v>
      </c>
      <c r="E25" s="1" t="n">
        <v>46322</v>
      </c>
      <c r="F25" t="inlineStr">
        <is>
          <t>ÖSTERGÖTLANDS LÄN</t>
        </is>
      </c>
      <c r="G25" t="inlineStr">
        <is>
          <t>ÖDESHÖG</t>
        </is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64251-2021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44510</v>
      </c>
      <c r="E26" s="1" t="n">
        <v>46322</v>
      </c>
      <c r="F26" t="inlineStr">
        <is>
          <t>ÖSTERGÖTLANDS LÄN</t>
        </is>
      </c>
      <c r="G26" t="inlineStr">
        <is>
          <t>ÖDESHÖG</t>
        </is>
      </c>
      <c r="I26" t="n">
        <v>0.4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64622-2021</t>
        </is>
      </c>
      <c r="B27" t="inlineStr">
        <is>
          <t>avverkningsanmälan</t>
        </is>
      </c>
      <c r="C27" t="inlineStr">
        <is>
          <t>Avverkning för annat ändamål</t>
        </is>
      </c>
      <c r="D27" s="1" t="n">
        <v>44511</v>
      </c>
      <c r="E27" s="1" t="n">
        <v>46322</v>
      </c>
      <c r="F27" t="inlineStr">
        <is>
          <t>ÖSTERGÖTLANDS LÄN</t>
        </is>
      </c>
      <c r="G27" t="inlineStr">
        <is>
          <t>ÖDESHÖG</t>
        </is>
      </c>
      <c r="I27" t="n">
        <v>1.8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62919-2021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44504</v>
      </c>
      <c r="E28" s="1" t="n">
        <v>46322</v>
      </c>
      <c r="F28" t="inlineStr">
        <is>
          <t>ÖSTERGÖTLANDS LÄN</t>
        </is>
      </c>
      <c r="G28" t="inlineStr">
        <is>
          <t>ÖDESHÖG</t>
        </is>
      </c>
      <c r="I28" t="n">
        <v>1.3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65821-2021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44517</v>
      </c>
      <c r="E29" s="1" t="n">
        <v>46322</v>
      </c>
      <c r="F29" t="inlineStr">
        <is>
          <t>ÖSTERGÖTLANDS LÄN</t>
        </is>
      </c>
      <c r="G29" t="inlineStr">
        <is>
          <t>ÖDESHÖG</t>
        </is>
      </c>
      <c r="I29" t="n">
        <v>0.7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16152-2022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44666</v>
      </c>
      <c r="E30" s="1" t="n">
        <v>46322</v>
      </c>
      <c r="F30" t="inlineStr">
        <is>
          <t>ÖSTERGÖTLANDS LÄN</t>
        </is>
      </c>
      <c r="G30" t="inlineStr">
        <is>
          <t>ÖDESHÖG</t>
        </is>
      </c>
      <c r="I30" t="n">
        <v>2.1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29967-2022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44756</v>
      </c>
      <c r="E31" s="1" t="n">
        <v>46322</v>
      </c>
      <c r="F31" t="inlineStr">
        <is>
          <t>ÖSTERGÖTLANDS LÄN</t>
        </is>
      </c>
      <c r="G31" t="inlineStr">
        <is>
          <t>ÖDESHÖG</t>
        </is>
      </c>
      <c r="I31" t="n">
        <v>0.7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34979-2022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44796</v>
      </c>
      <c r="E32" s="1" t="n">
        <v>46322</v>
      </c>
      <c r="F32" t="inlineStr">
        <is>
          <t>ÖSTERGÖTLANDS LÄN</t>
        </is>
      </c>
      <c r="G32" t="inlineStr">
        <is>
          <t>ÖDESHÖG</t>
        </is>
      </c>
      <c r="I32" t="n">
        <v>1.1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6705-2024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45342</v>
      </c>
      <c r="E33" s="1" t="n">
        <v>46322</v>
      </c>
      <c r="F33" t="inlineStr">
        <is>
          <t>ÖSTERGÖTLANDS LÄN</t>
        </is>
      </c>
      <c r="G33" t="inlineStr">
        <is>
          <t>ÖDESHÖG</t>
        </is>
      </c>
      <c r="H33" t="inlineStr">
        <is>
          <t>Allmännings- och besparingsskogar</t>
        </is>
      </c>
      <c r="I33" t="n">
        <v>8.300000000000001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15790-2025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45748</v>
      </c>
      <c r="E34" s="1" t="n">
        <v>46322</v>
      </c>
      <c r="F34" t="inlineStr">
        <is>
          <t>ÖSTERGÖTLANDS LÄN</t>
        </is>
      </c>
      <c r="G34" t="inlineStr">
        <is>
          <t>ÖDESHÖG</t>
        </is>
      </c>
      <c r="I34" t="n">
        <v>0.5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39024-2023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45163</v>
      </c>
      <c r="E35" s="1" t="n">
        <v>46322</v>
      </c>
      <c r="F35" t="inlineStr">
        <is>
          <t>ÖSTERGÖTLANDS LÄN</t>
        </is>
      </c>
      <c r="G35" t="inlineStr">
        <is>
          <t>ÖDESHÖG</t>
        </is>
      </c>
      <c r="H35" t="inlineStr">
        <is>
          <t>Allmännings- och besparingsskogar</t>
        </is>
      </c>
      <c r="I35" t="n">
        <v>4.7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5819-2024</t>
        </is>
      </c>
      <c r="B36" t="inlineStr">
        <is>
          <t>avverkningsanmälan</t>
        </is>
      </c>
      <c r="C36" t="inlineStr">
        <is>
          <t>Avverkning för annat ändamål</t>
        </is>
      </c>
      <c r="D36" s="1" t="n">
        <v>45335</v>
      </c>
      <c r="E36" s="1" t="n">
        <v>46322</v>
      </c>
      <c r="F36" t="inlineStr">
        <is>
          <t>ÖSTERGÖTLANDS LÄN</t>
        </is>
      </c>
      <c r="G36" t="inlineStr">
        <is>
          <t>ÖDESHÖG</t>
        </is>
      </c>
      <c r="H36" t="inlineStr">
        <is>
          <t>Allmännings- och besparingsskogar</t>
        </is>
      </c>
      <c r="I36" t="n">
        <v>2.2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11972-2023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44994</v>
      </c>
      <c r="E37" s="1" t="n">
        <v>46322</v>
      </c>
      <c r="F37" t="inlineStr">
        <is>
          <t>ÖSTERGÖTLANDS LÄN</t>
        </is>
      </c>
      <c r="G37" t="inlineStr">
        <is>
          <t>ÖDESHÖG</t>
        </is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35661-2024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45532</v>
      </c>
      <c r="E38" s="1" t="n">
        <v>46322</v>
      </c>
      <c r="F38" t="inlineStr">
        <is>
          <t>ÖSTERGÖTLANDS LÄN</t>
        </is>
      </c>
      <c r="G38" t="inlineStr">
        <is>
          <t>ÖDESHÖG</t>
        </is>
      </c>
      <c r="I38" t="n">
        <v>0.5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12332-2023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44999</v>
      </c>
      <c r="E39" s="1" t="n">
        <v>46322</v>
      </c>
      <c r="F39" t="inlineStr">
        <is>
          <t>ÖSTERGÖTLANDS LÄN</t>
        </is>
      </c>
      <c r="G39" t="inlineStr">
        <is>
          <t>ÖDESHÖG</t>
        </is>
      </c>
      <c r="I39" t="n">
        <v>0.4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22088-2023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45069</v>
      </c>
      <c r="E40" s="1" t="n">
        <v>46322</v>
      </c>
      <c r="F40" t="inlineStr">
        <is>
          <t>ÖSTERGÖTLANDS LÄN</t>
        </is>
      </c>
      <c r="G40" t="inlineStr">
        <is>
          <t>ÖDESHÖG</t>
        </is>
      </c>
      <c r="I40" t="n">
        <v>1.9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36114-2022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44803</v>
      </c>
      <c r="E41" s="1" t="n">
        <v>46322</v>
      </c>
      <c r="F41" t="inlineStr">
        <is>
          <t>ÖSTERGÖTLANDS LÄN</t>
        </is>
      </c>
      <c r="G41" t="inlineStr">
        <is>
          <t>ÖDESHÖG</t>
        </is>
      </c>
      <c r="I41" t="n">
        <v>1.2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41730-2025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45902</v>
      </c>
      <c r="E42" s="1" t="n">
        <v>46322</v>
      </c>
      <c r="F42" t="inlineStr">
        <is>
          <t>ÖSTERGÖTLANDS LÄN</t>
        </is>
      </c>
      <c r="G42" t="inlineStr">
        <is>
          <t>ÖDESHÖG</t>
        </is>
      </c>
      <c r="I42" t="n">
        <v>1.9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3198-2024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45316</v>
      </c>
      <c r="E43" s="1" t="n">
        <v>46322</v>
      </c>
      <c r="F43" t="inlineStr">
        <is>
          <t>ÖSTERGÖTLANDS LÄN</t>
        </is>
      </c>
      <c r="G43" t="inlineStr">
        <is>
          <t>ÖDESHÖG</t>
        </is>
      </c>
      <c r="I43" t="n">
        <v>1.7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8256-2023</t>
        </is>
      </c>
      <c r="B44" t="inlineStr">
        <is>
          <t>avverkningsanmälan</t>
        </is>
      </c>
      <c r="C44" t="inlineStr">
        <is>
          <t>Avverkning för annat ändamål</t>
        </is>
      </c>
      <c r="D44" s="1" t="n">
        <v>44974</v>
      </c>
      <c r="E44" s="1" t="n">
        <v>46322</v>
      </c>
      <c r="F44" t="inlineStr">
        <is>
          <t>ÖSTERGÖTLANDS LÄN</t>
        </is>
      </c>
      <c r="G44" t="inlineStr">
        <is>
          <t>ÖDESHÖG</t>
        </is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26949-2023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45093</v>
      </c>
      <c r="E45" s="1" t="n">
        <v>46322</v>
      </c>
      <c r="F45" t="inlineStr">
        <is>
          <t>ÖSTERGÖTLANDS LÄN</t>
        </is>
      </c>
      <c r="G45" t="inlineStr">
        <is>
          <t>ÖDESHÖG</t>
        </is>
      </c>
      <c r="I45" t="n">
        <v>1.3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15813-2022</t>
        </is>
      </c>
      <c r="B46" t="inlineStr">
        <is>
          <t>avverkningsanmälan</t>
        </is>
      </c>
      <c r="C46" t="inlineStr">
        <is>
          <t>Avverkning för att bevara och utveckla /försöksver</t>
        </is>
      </c>
      <c r="D46" s="1" t="n">
        <v>44664</v>
      </c>
      <c r="E46" s="1" t="n">
        <v>46322</v>
      </c>
      <c r="F46" t="inlineStr">
        <is>
          <t>ÖSTERGÖTLANDS LÄN</t>
        </is>
      </c>
      <c r="G46" t="inlineStr">
        <is>
          <t>ÖDESHÖG</t>
        </is>
      </c>
      <c r="H46" t="inlineStr">
        <is>
          <t>Sveaskog</t>
        </is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38152-2023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45161</v>
      </c>
      <c r="E47" s="1" t="n">
        <v>46322</v>
      </c>
      <c r="F47" t="inlineStr">
        <is>
          <t>ÖSTERGÖTLANDS LÄN</t>
        </is>
      </c>
      <c r="G47" t="inlineStr">
        <is>
          <t>ÖDESHÖG</t>
        </is>
      </c>
      <c r="I47" t="n">
        <v>0.8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38266-2022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44812</v>
      </c>
      <c r="E48" s="1" t="n">
        <v>46322</v>
      </c>
      <c r="F48" t="inlineStr">
        <is>
          <t>ÖSTERGÖTLANDS LÄN</t>
        </is>
      </c>
      <c r="G48" t="inlineStr">
        <is>
          <t>ÖDESHÖG</t>
        </is>
      </c>
      <c r="I48" t="n">
        <v>2.4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44069-2023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45188</v>
      </c>
      <c r="E49" s="1" t="n">
        <v>46322</v>
      </c>
      <c r="F49" t="inlineStr">
        <is>
          <t>ÖSTERGÖTLANDS LÄN</t>
        </is>
      </c>
      <c r="G49" t="inlineStr">
        <is>
          <t>ÖDESHÖG</t>
        </is>
      </c>
      <c r="I49" t="n">
        <v>2.3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1323-2023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44936</v>
      </c>
      <c r="E50" s="1" t="n">
        <v>46322</v>
      </c>
      <c r="F50" t="inlineStr">
        <is>
          <t>ÖSTERGÖTLANDS LÄN</t>
        </is>
      </c>
      <c r="G50" t="inlineStr">
        <is>
          <t>ÖDESHÖG</t>
        </is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56841-2022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44894</v>
      </c>
      <c r="E51" s="1" t="n">
        <v>46322</v>
      </c>
      <c r="F51" t="inlineStr">
        <is>
          <t>ÖSTERGÖTLANDS LÄN</t>
        </is>
      </c>
      <c r="G51" t="inlineStr">
        <is>
          <t>ÖDESHÖG</t>
        </is>
      </c>
      <c r="I51" t="n">
        <v>0.5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14736-2024</t>
        </is>
      </c>
      <c r="B52" t="inlineStr">
        <is>
          <t>avverkningsanmälan</t>
        </is>
      </c>
      <c r="C52" t="inlineStr">
        <is>
          <t>Avverkning för annat ändamål</t>
        </is>
      </c>
      <c r="D52" s="1" t="n">
        <v>45397</v>
      </c>
      <c r="E52" s="1" t="n">
        <v>46322</v>
      </c>
      <c r="F52" t="inlineStr">
        <is>
          <t>ÖSTERGÖTLANDS LÄN</t>
        </is>
      </c>
      <c r="G52" t="inlineStr">
        <is>
          <t>ÖDESHÖG</t>
        </is>
      </c>
      <c r="I52" t="n">
        <v>1.3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25729-2023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45084</v>
      </c>
      <c r="E53" s="1" t="n">
        <v>46322</v>
      </c>
      <c r="F53" t="inlineStr">
        <is>
          <t>ÖSTERGÖTLANDS LÄN</t>
        </is>
      </c>
      <c r="G53" t="inlineStr">
        <is>
          <t>ÖDESHÖG</t>
        </is>
      </c>
      <c r="I53" t="n">
        <v>2.3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1578-2023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44937</v>
      </c>
      <c r="E54" s="1" t="n">
        <v>46322</v>
      </c>
      <c r="F54" t="inlineStr">
        <is>
          <t>ÖSTERGÖTLANDS LÄN</t>
        </is>
      </c>
      <c r="G54" t="inlineStr">
        <is>
          <t>ÖDESHÖG</t>
        </is>
      </c>
      <c r="I54" t="n">
        <v>4.7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46059-2025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45924</v>
      </c>
      <c r="E55" s="1" t="n">
        <v>46322</v>
      </c>
      <c r="F55" t="inlineStr">
        <is>
          <t>ÖSTERGÖTLANDS LÄN</t>
        </is>
      </c>
      <c r="G55" t="inlineStr">
        <is>
          <t>ÖDESHÖG</t>
        </is>
      </c>
      <c r="I55" t="n">
        <v>1.8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46778-2025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45926</v>
      </c>
      <c r="E56" s="1" t="n">
        <v>46322</v>
      </c>
      <c r="F56" t="inlineStr">
        <is>
          <t>ÖSTERGÖTLANDS LÄN</t>
        </is>
      </c>
      <c r="G56" t="inlineStr">
        <is>
          <t>ÖDESHÖG</t>
        </is>
      </c>
      <c r="I56" t="n">
        <v>1.2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46999-2025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45929</v>
      </c>
      <c r="E57" s="1" t="n">
        <v>46322</v>
      </c>
      <c r="F57" t="inlineStr">
        <is>
          <t>ÖSTERGÖTLANDS LÄN</t>
        </is>
      </c>
      <c r="G57" t="inlineStr">
        <is>
          <t>ÖDESHÖG</t>
        </is>
      </c>
      <c r="I57" t="n">
        <v>1.1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46788-2025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45926</v>
      </c>
      <c r="E58" s="1" t="n">
        <v>46322</v>
      </c>
      <c r="F58" t="inlineStr">
        <is>
          <t>ÖSTERGÖTLANDS LÄN</t>
        </is>
      </c>
      <c r="G58" t="inlineStr">
        <is>
          <t>ÖDESHÖG</t>
        </is>
      </c>
      <c r="I58" t="n">
        <v>1.1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11280-2025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45726</v>
      </c>
      <c r="E59" s="1" t="n">
        <v>46322</v>
      </c>
      <c r="F59" t="inlineStr">
        <is>
          <t>ÖSTERGÖTLANDS LÄN</t>
        </is>
      </c>
      <c r="G59" t="inlineStr">
        <is>
          <t>ÖDESHÖG</t>
        </is>
      </c>
      <c r="I59" t="n">
        <v>0.4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47648-2025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45931</v>
      </c>
      <c r="E60" s="1" t="n">
        <v>46322</v>
      </c>
      <c r="F60" t="inlineStr">
        <is>
          <t>ÖSTERGÖTLANDS LÄN</t>
        </is>
      </c>
      <c r="G60" t="inlineStr">
        <is>
          <t>ÖDESHÖG</t>
        </is>
      </c>
      <c r="I60" t="n">
        <v>1.3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15909-2024</t>
        </is>
      </c>
      <c r="B61" t="inlineStr">
        <is>
          <t>avverkningsanmälan</t>
        </is>
      </c>
      <c r="C61" t="inlineStr">
        <is>
          <t>Avverkning för annat ändamål</t>
        </is>
      </c>
      <c r="D61" s="1" t="n">
        <v>45405</v>
      </c>
      <c r="E61" s="1" t="n">
        <v>46322</v>
      </c>
      <c r="F61" t="inlineStr">
        <is>
          <t>ÖSTERGÖTLANDS LÄN</t>
        </is>
      </c>
      <c r="G61" t="inlineStr">
        <is>
          <t>ÖDESHÖG</t>
        </is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48063-2025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45932</v>
      </c>
      <c r="E62" s="1" t="n">
        <v>46322</v>
      </c>
      <c r="F62" t="inlineStr">
        <is>
          <t>ÖSTERGÖTLANDS LÄN</t>
        </is>
      </c>
      <c r="G62" t="inlineStr">
        <is>
          <t>ÖDESHÖG</t>
        </is>
      </c>
      <c r="I62" t="n">
        <v>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48611-2025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45936</v>
      </c>
      <c r="E63" s="1" t="n">
        <v>46322</v>
      </c>
      <c r="F63" t="inlineStr">
        <is>
          <t>ÖSTERGÖTLANDS LÄN</t>
        </is>
      </c>
      <c r="G63" t="inlineStr">
        <is>
          <t>ÖDESHÖG</t>
        </is>
      </c>
      <c r="I63" t="n">
        <v>0.4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48614-2025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45936</v>
      </c>
      <c r="E64" s="1" t="n">
        <v>46322</v>
      </c>
      <c r="F64" t="inlineStr">
        <is>
          <t>ÖSTERGÖTLANDS LÄN</t>
        </is>
      </c>
      <c r="G64" t="inlineStr">
        <is>
          <t>ÖDESHÖG</t>
        </is>
      </c>
      <c r="I64" t="n">
        <v>0.8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30388-2024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45491</v>
      </c>
      <c r="E65" s="1" t="n">
        <v>46322</v>
      </c>
      <c r="F65" t="inlineStr">
        <is>
          <t>ÖSTERGÖTLANDS LÄN</t>
        </is>
      </c>
      <c r="G65" t="inlineStr">
        <is>
          <t>ÖDESHÖG</t>
        </is>
      </c>
      <c r="I65" t="n">
        <v>1.9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48575-2025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45936</v>
      </c>
      <c r="E66" s="1" t="n">
        <v>46322</v>
      </c>
      <c r="F66" t="inlineStr">
        <is>
          <t>ÖSTERGÖTLANDS LÄN</t>
        </is>
      </c>
      <c r="G66" t="inlineStr">
        <is>
          <t>ÖDESHÖG</t>
        </is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38259-2023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45161</v>
      </c>
      <c r="E67" s="1" t="n">
        <v>46322</v>
      </c>
      <c r="F67" t="inlineStr">
        <is>
          <t>ÖSTERGÖTLANDS LÄN</t>
        </is>
      </c>
      <c r="G67" t="inlineStr">
        <is>
          <t>ÖDESHÖG</t>
        </is>
      </c>
      <c r="I67" t="n">
        <v>2.7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21855-2022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44709</v>
      </c>
      <c r="E68" s="1" t="n">
        <v>46322</v>
      </c>
      <c r="F68" t="inlineStr">
        <is>
          <t>ÖSTERGÖTLANDS LÄN</t>
        </is>
      </c>
      <c r="G68" t="inlineStr">
        <is>
          <t>ÖDESHÖG</t>
        </is>
      </c>
      <c r="I68" t="n">
        <v>1.5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72603-2021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44546</v>
      </c>
      <c r="E69" s="1" t="n">
        <v>46322</v>
      </c>
      <c r="F69" t="inlineStr">
        <is>
          <t>ÖSTERGÖTLANDS LÄN</t>
        </is>
      </c>
      <c r="G69" t="inlineStr">
        <is>
          <t>ÖDESHÖG</t>
        </is>
      </c>
      <c r="I69" t="n">
        <v>1.9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50416-2025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45944</v>
      </c>
      <c r="E70" s="1" t="n">
        <v>46322</v>
      </c>
      <c r="F70" t="inlineStr">
        <is>
          <t>ÖSTERGÖTLANDS LÄN</t>
        </is>
      </c>
      <c r="G70" t="inlineStr">
        <is>
          <t>ÖDESHÖG</t>
        </is>
      </c>
      <c r="I70" t="n">
        <v>3.4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39032-2023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45163</v>
      </c>
      <c r="E71" s="1" t="n">
        <v>46322</v>
      </c>
      <c r="F71" t="inlineStr">
        <is>
          <t>ÖSTERGÖTLANDS LÄN</t>
        </is>
      </c>
      <c r="G71" t="inlineStr">
        <is>
          <t>ÖDESHÖG</t>
        </is>
      </c>
      <c r="H71" t="inlineStr">
        <is>
          <t>Allmännings- och besparingsskogar</t>
        </is>
      </c>
      <c r="I71" t="n">
        <v>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51171-2025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45947</v>
      </c>
      <c r="E72" s="1" t="n">
        <v>46322</v>
      </c>
      <c r="F72" t="inlineStr">
        <is>
          <t>ÖSTERGÖTLANDS LÄN</t>
        </is>
      </c>
      <c r="G72" t="inlineStr">
        <is>
          <t>ÖDESHÖG</t>
        </is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51328-2025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45950</v>
      </c>
      <c r="E73" s="1" t="n">
        <v>46322</v>
      </c>
      <c r="F73" t="inlineStr">
        <is>
          <t>ÖSTERGÖTLANDS LÄN</t>
        </is>
      </c>
      <c r="G73" t="inlineStr">
        <is>
          <t>ÖDESHÖG</t>
        </is>
      </c>
      <c r="I73" t="n">
        <v>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14750-2023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45014</v>
      </c>
      <c r="E74" s="1" t="n">
        <v>46322</v>
      </c>
      <c r="F74" t="inlineStr">
        <is>
          <t>ÖSTERGÖTLANDS LÄN</t>
        </is>
      </c>
      <c r="G74" t="inlineStr">
        <is>
          <t>ÖDESHÖG</t>
        </is>
      </c>
      <c r="I74" t="n">
        <v>1.6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47600-2023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45203</v>
      </c>
      <c r="E75" s="1" t="n">
        <v>46322</v>
      </c>
      <c r="F75" t="inlineStr">
        <is>
          <t>ÖSTERGÖTLANDS LÄN</t>
        </is>
      </c>
      <c r="G75" t="inlineStr">
        <is>
          <t>ÖDESHÖG</t>
        </is>
      </c>
      <c r="I75" t="n">
        <v>0.6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39920-2024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45553</v>
      </c>
      <c r="E76" s="1" t="n">
        <v>46322</v>
      </c>
      <c r="F76" t="inlineStr">
        <is>
          <t>ÖSTERGÖTLANDS LÄN</t>
        </is>
      </c>
      <c r="G76" t="inlineStr">
        <is>
          <t>ÖDESHÖG</t>
        </is>
      </c>
      <c r="I76" t="n">
        <v>0.4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45973-2024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45580</v>
      </c>
      <c r="E77" s="1" t="n">
        <v>46322</v>
      </c>
      <c r="F77" t="inlineStr">
        <is>
          <t>ÖSTERGÖTLANDS LÄN</t>
        </is>
      </c>
      <c r="G77" t="inlineStr">
        <is>
          <t>ÖDESHÖG</t>
        </is>
      </c>
      <c r="I77" t="n">
        <v>1.9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9448-2023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44981</v>
      </c>
      <c r="E78" s="1" t="n">
        <v>46322</v>
      </c>
      <c r="F78" t="inlineStr">
        <is>
          <t>ÖSTERGÖTLANDS LÄN</t>
        </is>
      </c>
      <c r="G78" t="inlineStr">
        <is>
          <t>ÖDESHÖG</t>
        </is>
      </c>
      <c r="I78" t="n">
        <v>1.4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21357-2025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45782</v>
      </c>
      <c r="E79" s="1" t="n">
        <v>46322</v>
      </c>
      <c r="F79" t="inlineStr">
        <is>
          <t>ÖSTERGÖTLANDS LÄN</t>
        </is>
      </c>
      <c r="G79" t="inlineStr">
        <is>
          <t>ÖDESHÖG</t>
        </is>
      </c>
      <c r="I79" t="n">
        <v>1.9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21530-2025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45782</v>
      </c>
      <c r="E80" s="1" t="n">
        <v>46322</v>
      </c>
      <c r="F80" t="inlineStr">
        <is>
          <t>ÖSTERGÖTLANDS LÄN</t>
        </is>
      </c>
      <c r="G80" t="inlineStr">
        <is>
          <t>ÖDESHÖG</t>
        </is>
      </c>
      <c r="I80" t="n">
        <v>0.7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46528-2024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45582</v>
      </c>
      <c r="E81" s="1" t="n">
        <v>46322</v>
      </c>
      <c r="F81" t="inlineStr">
        <is>
          <t>ÖSTERGÖTLANDS LÄN</t>
        </is>
      </c>
      <c r="G81" t="inlineStr">
        <is>
          <t>ÖDESHÖG</t>
        </is>
      </c>
      <c r="I81" t="n">
        <v>0.6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20720-2025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45776</v>
      </c>
      <c r="E82" s="1" t="n">
        <v>46322</v>
      </c>
      <c r="F82" t="inlineStr">
        <is>
          <t>ÖSTERGÖTLANDS LÄN</t>
        </is>
      </c>
      <c r="G82" t="inlineStr">
        <is>
          <t>ÖDESHÖG</t>
        </is>
      </c>
      <c r="I82" t="n">
        <v>1.3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55901-2025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45973</v>
      </c>
      <c r="E83" s="1" t="n">
        <v>46322</v>
      </c>
      <c r="F83" t="inlineStr">
        <is>
          <t>ÖSTERGÖTLANDS LÄN</t>
        </is>
      </c>
      <c r="G83" t="inlineStr">
        <is>
          <t>ÖDESHÖG</t>
        </is>
      </c>
      <c r="I83" t="n">
        <v>0.8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55906-2025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45973</v>
      </c>
      <c r="E84" s="1" t="n">
        <v>46322</v>
      </c>
      <c r="F84" t="inlineStr">
        <is>
          <t>ÖSTERGÖTLANDS LÄN</t>
        </is>
      </c>
      <c r="G84" t="inlineStr">
        <is>
          <t>ÖDESHÖG</t>
        </is>
      </c>
      <c r="I84" t="n">
        <v>0.7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55908-2025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45973</v>
      </c>
      <c r="E85" s="1" t="n">
        <v>46322</v>
      </c>
      <c r="F85" t="inlineStr">
        <is>
          <t>ÖSTERGÖTLANDS LÄN</t>
        </is>
      </c>
      <c r="G85" t="inlineStr">
        <is>
          <t>ÖDESHÖG</t>
        </is>
      </c>
      <c r="I85" t="n">
        <v>0.8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36075-2023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45149</v>
      </c>
      <c r="E86" s="1" t="n">
        <v>46322</v>
      </c>
      <c r="F86" t="inlineStr">
        <is>
          <t>ÖSTERGÖTLANDS LÄN</t>
        </is>
      </c>
      <c r="G86" t="inlineStr">
        <is>
          <t>ÖDESHÖG</t>
        </is>
      </c>
      <c r="I86" t="n">
        <v>1.5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3554-2025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45680</v>
      </c>
      <c r="E87" s="1" t="n">
        <v>46322</v>
      </c>
      <c r="F87" t="inlineStr">
        <is>
          <t>ÖSTERGÖTLANDS LÄN</t>
        </is>
      </c>
      <c r="G87" t="inlineStr">
        <is>
          <t>ÖDESHÖG</t>
        </is>
      </c>
      <c r="I87" t="n">
        <v>3.9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1674-2023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44938</v>
      </c>
      <c r="E88" s="1" t="n">
        <v>46322</v>
      </c>
      <c r="F88" t="inlineStr">
        <is>
          <t>ÖSTERGÖTLANDS LÄN</t>
        </is>
      </c>
      <c r="G88" t="inlineStr">
        <is>
          <t>ÖDESHÖG</t>
        </is>
      </c>
      <c r="I88" t="n">
        <v>2.3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50818-2023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45217</v>
      </c>
      <c r="E89" s="1" t="n">
        <v>46322</v>
      </c>
      <c r="F89" t="inlineStr">
        <is>
          <t>ÖSTERGÖTLANDS LÄN</t>
        </is>
      </c>
      <c r="G89" t="inlineStr">
        <is>
          <t>ÖDESHÖG</t>
        </is>
      </c>
      <c r="I89" t="n">
        <v>3.8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35079-2023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45145</v>
      </c>
      <c r="E90" s="1" t="n">
        <v>46322</v>
      </c>
      <c r="F90" t="inlineStr">
        <is>
          <t>ÖSTERGÖTLANDS LÄN</t>
        </is>
      </c>
      <c r="G90" t="inlineStr">
        <is>
          <t>ÖDESHÖG</t>
        </is>
      </c>
      <c r="I90" t="n">
        <v>1.3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6421-2025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45699</v>
      </c>
      <c r="E91" s="1" t="n">
        <v>46322</v>
      </c>
      <c r="F91" t="inlineStr">
        <is>
          <t>ÖSTERGÖTLANDS LÄN</t>
        </is>
      </c>
      <c r="G91" t="inlineStr">
        <is>
          <t>ÖDESHÖG</t>
        </is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6456-2025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45699</v>
      </c>
      <c r="E92" s="1" t="n">
        <v>46322</v>
      </c>
      <c r="F92" t="inlineStr">
        <is>
          <t>ÖSTERGÖTLANDS LÄN</t>
        </is>
      </c>
      <c r="G92" t="inlineStr">
        <is>
          <t>ÖDESHÖG</t>
        </is>
      </c>
      <c r="I92" t="n">
        <v>0.6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17618-2024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45416</v>
      </c>
      <c r="E93" s="1" t="n">
        <v>46322</v>
      </c>
      <c r="F93" t="inlineStr">
        <is>
          <t>ÖSTERGÖTLANDS LÄN</t>
        </is>
      </c>
      <c r="G93" t="inlineStr">
        <is>
          <t>ÖDESHÖG</t>
        </is>
      </c>
      <c r="I93" t="n">
        <v>0.9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21336-2025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45782</v>
      </c>
      <c r="E94" s="1" t="n">
        <v>46322</v>
      </c>
      <c r="F94" t="inlineStr">
        <is>
          <t>ÖSTERGÖTLANDS LÄN</t>
        </is>
      </c>
      <c r="G94" t="inlineStr">
        <is>
          <t>ÖDESHÖG</t>
        </is>
      </c>
      <c r="I94" t="n">
        <v>1.9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28718-2026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46198</v>
      </c>
      <c r="E95" s="1" t="n">
        <v>46322</v>
      </c>
      <c r="F95" t="inlineStr">
        <is>
          <t>ÖSTERGÖTLANDS LÄN</t>
        </is>
      </c>
      <c r="G95" t="inlineStr">
        <is>
          <t>ÖDESHÖG</t>
        </is>
      </c>
      <c r="H95" t="inlineStr">
        <is>
          <t>Allmännings- och besparingsskogar</t>
        </is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47993-2024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45589</v>
      </c>
      <c r="E96" s="1" t="n">
        <v>46322</v>
      </c>
      <c r="F96" t="inlineStr">
        <is>
          <t>ÖSTERGÖTLANDS LÄN</t>
        </is>
      </c>
      <c r="G96" t="inlineStr">
        <is>
          <t>ÖDESHÖG</t>
        </is>
      </c>
      <c r="I96" t="n">
        <v>0.6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28704-2026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46198</v>
      </c>
      <c r="E97" s="1" t="n">
        <v>46322</v>
      </c>
      <c r="F97" t="inlineStr">
        <is>
          <t>ÖSTERGÖTLANDS LÄN</t>
        </is>
      </c>
      <c r="G97" t="inlineStr">
        <is>
          <t>ÖDESHÖG</t>
        </is>
      </c>
      <c r="H97" t="inlineStr">
        <is>
          <t>Allmännings- och besparingsskogar</t>
        </is>
      </c>
      <c r="I97" t="n">
        <v>2.2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5513-2025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45693</v>
      </c>
      <c r="E98" s="1" t="n">
        <v>46322</v>
      </c>
      <c r="F98" t="inlineStr">
        <is>
          <t>ÖSTERGÖTLANDS LÄN</t>
        </is>
      </c>
      <c r="G98" t="inlineStr">
        <is>
          <t>ÖDESHÖG</t>
        </is>
      </c>
      <c r="I98" t="n">
        <v>0.7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6164-2024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45337</v>
      </c>
      <c r="E99" s="1" t="n">
        <v>46322</v>
      </c>
      <c r="F99" t="inlineStr">
        <is>
          <t>ÖSTERGÖTLANDS LÄN</t>
        </is>
      </c>
      <c r="G99" t="inlineStr">
        <is>
          <t>ÖDESHÖG</t>
        </is>
      </c>
      <c r="I99" t="n">
        <v>2.6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14156-2023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45009</v>
      </c>
      <c r="E100" s="1" t="n">
        <v>46322</v>
      </c>
      <c r="F100" t="inlineStr">
        <is>
          <t>ÖSTERGÖTLANDS LÄN</t>
        </is>
      </c>
      <c r="G100" t="inlineStr">
        <is>
          <t>ÖDESHÖG</t>
        </is>
      </c>
      <c r="I100" t="n">
        <v>1.3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13129-2023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45002</v>
      </c>
      <c r="E101" s="1" t="n">
        <v>46322</v>
      </c>
      <c r="F101" t="inlineStr">
        <is>
          <t>ÖSTERGÖTLANDS LÄN</t>
        </is>
      </c>
      <c r="G101" t="inlineStr">
        <is>
          <t>ÖDESHÖG</t>
        </is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35411-2023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45146</v>
      </c>
      <c r="E102" s="1" t="n">
        <v>46322</v>
      </c>
      <c r="F102" t="inlineStr">
        <is>
          <t>ÖSTERGÖTLANDS LÄN</t>
        </is>
      </c>
      <c r="G102" t="inlineStr">
        <is>
          <t>ÖDESHÖG</t>
        </is>
      </c>
      <c r="I102" t="n">
        <v>1.4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16270-2024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45407</v>
      </c>
      <c r="E103" s="1" t="n">
        <v>46322</v>
      </c>
      <c r="F103" t="inlineStr">
        <is>
          <t>ÖSTERGÖTLANDS LÄN</t>
        </is>
      </c>
      <c r="G103" t="inlineStr">
        <is>
          <t>ÖDESHÖG</t>
        </is>
      </c>
      <c r="I103" t="n">
        <v>0.7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61798-2025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46002</v>
      </c>
      <c r="E104" s="1" t="n">
        <v>46322</v>
      </c>
      <c r="F104" t="inlineStr">
        <is>
          <t>ÖSTERGÖTLANDS LÄN</t>
        </is>
      </c>
      <c r="G104" t="inlineStr">
        <is>
          <t>ÖDESHÖG</t>
        </is>
      </c>
      <c r="H104" t="inlineStr">
        <is>
          <t>Allmännings- och besparingsskogar</t>
        </is>
      </c>
      <c r="I104" t="n">
        <v>1.2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61972-2025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46003</v>
      </c>
      <c r="E105" s="1" t="n">
        <v>46322</v>
      </c>
      <c r="F105" t="inlineStr">
        <is>
          <t>ÖSTERGÖTLANDS LÄN</t>
        </is>
      </c>
      <c r="G105" t="inlineStr">
        <is>
          <t>ÖDESHÖG</t>
        </is>
      </c>
      <c r="H105" t="inlineStr">
        <is>
          <t>Allmännings- och besparingsskogar</t>
        </is>
      </c>
      <c r="I105" t="n">
        <v>4.5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61470-2025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46001</v>
      </c>
      <c r="E106" s="1" t="n">
        <v>46322</v>
      </c>
      <c r="F106" t="inlineStr">
        <is>
          <t>ÖSTERGÖTLANDS LÄN</t>
        </is>
      </c>
      <c r="G106" t="inlineStr">
        <is>
          <t>ÖDESHÖG</t>
        </is>
      </c>
      <c r="H106" t="inlineStr">
        <is>
          <t>Allmännings- och besparingsskogar</t>
        </is>
      </c>
      <c r="I106" t="n">
        <v>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61629-2025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46002</v>
      </c>
      <c r="E107" s="1" t="n">
        <v>46322</v>
      </c>
      <c r="F107" t="inlineStr">
        <is>
          <t>ÖSTERGÖTLANDS LÄN</t>
        </is>
      </c>
      <c r="G107" t="inlineStr">
        <is>
          <t>ÖDESHÖG</t>
        </is>
      </c>
      <c r="I107" t="n">
        <v>1.8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62482-2025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46007</v>
      </c>
      <c r="E108" s="1" t="n">
        <v>46322</v>
      </c>
      <c r="F108" t="inlineStr">
        <is>
          <t>ÖSTERGÖTLANDS LÄN</t>
        </is>
      </c>
      <c r="G108" t="inlineStr">
        <is>
          <t>ÖDESHÖG</t>
        </is>
      </c>
      <c r="I108" t="n">
        <v>6.7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20244-2022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44698</v>
      </c>
      <c r="E109" s="1" t="n">
        <v>46322</v>
      </c>
      <c r="F109" t="inlineStr">
        <is>
          <t>ÖSTERGÖTLANDS LÄN</t>
        </is>
      </c>
      <c r="G109" t="inlineStr">
        <is>
          <t>ÖDESHÖG</t>
        </is>
      </c>
      <c r="H109" t="inlineStr">
        <is>
          <t>Allmännings- och besparingsskogar</t>
        </is>
      </c>
      <c r="I109" t="n">
        <v>9.5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6557-2025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45699</v>
      </c>
      <c r="E110" s="1" t="n">
        <v>46322</v>
      </c>
      <c r="F110" t="inlineStr">
        <is>
          <t>ÖSTERGÖTLANDS LÄN</t>
        </is>
      </c>
      <c r="G110" t="inlineStr">
        <is>
          <t>ÖDESHÖG</t>
        </is>
      </c>
      <c r="I110" t="n">
        <v>1.1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32378-2024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45512</v>
      </c>
      <c r="E111" s="1" t="n">
        <v>46322</v>
      </c>
      <c r="F111" t="inlineStr">
        <is>
          <t>ÖSTERGÖTLANDS LÄN</t>
        </is>
      </c>
      <c r="G111" t="inlineStr">
        <is>
          <t>ÖDESHÖG</t>
        </is>
      </c>
      <c r="I111" t="n">
        <v>2.1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28908-2026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46199</v>
      </c>
      <c r="E112" s="1" t="n">
        <v>46322</v>
      </c>
      <c r="F112" t="inlineStr">
        <is>
          <t>ÖSTERGÖTLANDS LÄN</t>
        </is>
      </c>
      <c r="G112" t="inlineStr">
        <is>
          <t>ÖDESHÖG</t>
        </is>
      </c>
      <c r="I112" t="n">
        <v>5.3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62801-2025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46008</v>
      </c>
      <c r="E113" s="1" t="n">
        <v>46322</v>
      </c>
      <c r="F113" t="inlineStr">
        <is>
          <t>ÖSTERGÖTLANDS LÄN</t>
        </is>
      </c>
      <c r="G113" t="inlineStr">
        <is>
          <t>ÖDESHÖG</t>
        </is>
      </c>
      <c r="I113" t="n">
        <v>6.6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30600-2025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45831</v>
      </c>
      <c r="E114" s="1" t="n">
        <v>46322</v>
      </c>
      <c r="F114" t="inlineStr">
        <is>
          <t>ÖSTERGÖTLANDS LÄN</t>
        </is>
      </c>
      <c r="G114" t="inlineStr">
        <is>
          <t>ÖDESHÖG</t>
        </is>
      </c>
      <c r="I114" t="n">
        <v>4.8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64010-2025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46021</v>
      </c>
      <c r="E115" s="1" t="n">
        <v>46322</v>
      </c>
      <c r="F115" t="inlineStr">
        <is>
          <t>ÖSTERGÖTLANDS LÄN</t>
        </is>
      </c>
      <c r="G115" t="inlineStr">
        <is>
          <t>ÖDESHÖG</t>
        </is>
      </c>
      <c r="H115" t="inlineStr">
        <is>
          <t>Allmännings- och besparingsskogar</t>
        </is>
      </c>
      <c r="I115" t="n">
        <v>15.4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64015-2025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46021</v>
      </c>
      <c r="E116" s="1" t="n">
        <v>46322</v>
      </c>
      <c r="F116" t="inlineStr">
        <is>
          <t>ÖSTERGÖTLANDS LÄN</t>
        </is>
      </c>
      <c r="G116" t="inlineStr">
        <is>
          <t>ÖDESHÖG</t>
        </is>
      </c>
      <c r="H116" t="inlineStr">
        <is>
          <t>Allmännings- och besparingsskogar</t>
        </is>
      </c>
      <c r="I116" t="n">
        <v>0.9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19351-2023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45049</v>
      </c>
      <c r="E117" s="1" t="n">
        <v>46322</v>
      </c>
      <c r="F117" t="inlineStr">
        <is>
          <t>ÖSTERGÖTLANDS LÄN</t>
        </is>
      </c>
      <c r="G117" t="inlineStr">
        <is>
          <t>ÖDESHÖG</t>
        </is>
      </c>
      <c r="I117" t="n">
        <v>5.8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32466-2025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45838</v>
      </c>
      <c r="E118" s="1" t="n">
        <v>46322</v>
      </c>
      <c r="F118" t="inlineStr">
        <is>
          <t>ÖSTERGÖTLANDS LÄN</t>
        </is>
      </c>
      <c r="G118" t="inlineStr">
        <is>
          <t>ÖDESHÖG</t>
        </is>
      </c>
      <c r="I118" t="n">
        <v>0.5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32476-2025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45838</v>
      </c>
      <c r="E119" s="1" t="n">
        <v>46322</v>
      </c>
      <c r="F119" t="inlineStr">
        <is>
          <t>ÖSTERGÖTLANDS LÄN</t>
        </is>
      </c>
      <c r="G119" t="inlineStr">
        <is>
          <t>ÖDESHÖG</t>
        </is>
      </c>
      <c r="I119" t="n">
        <v>0.7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602-2026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46029</v>
      </c>
      <c r="E120" s="1" t="n">
        <v>46322</v>
      </c>
      <c r="F120" t="inlineStr">
        <is>
          <t>ÖSTERGÖTLANDS LÄN</t>
        </is>
      </c>
      <c r="G120" t="inlineStr">
        <is>
          <t>ÖDESHÖG</t>
        </is>
      </c>
      <c r="I120" t="n">
        <v>1.3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32335-2024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45512</v>
      </c>
      <c r="E121" s="1" t="n">
        <v>46322</v>
      </c>
      <c r="F121" t="inlineStr">
        <is>
          <t>ÖSTERGÖTLANDS LÄN</t>
        </is>
      </c>
      <c r="G121" t="inlineStr">
        <is>
          <t>ÖDESHÖG</t>
        </is>
      </c>
      <c r="I121" t="n">
        <v>3.2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1279-2026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46031</v>
      </c>
      <c r="E122" s="1" t="n">
        <v>46322</v>
      </c>
      <c r="F122" t="inlineStr">
        <is>
          <t>ÖSTERGÖTLANDS LÄN</t>
        </is>
      </c>
      <c r="G122" t="inlineStr">
        <is>
          <t>ÖDESHÖG</t>
        </is>
      </c>
      <c r="I122" t="n">
        <v>0.6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1261-2026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46031</v>
      </c>
      <c r="E123" s="1" t="n">
        <v>46322</v>
      </c>
      <c r="F123" t="inlineStr">
        <is>
          <t>ÖSTERGÖTLANDS LÄN</t>
        </is>
      </c>
      <c r="G123" t="inlineStr">
        <is>
          <t>ÖDESHÖG</t>
        </is>
      </c>
      <c r="I123" t="n">
        <v>1.1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1268-2026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46031</v>
      </c>
      <c r="E124" s="1" t="n">
        <v>46322</v>
      </c>
      <c r="F124" t="inlineStr">
        <is>
          <t>ÖSTERGÖTLANDS LÄN</t>
        </is>
      </c>
      <c r="G124" t="inlineStr">
        <is>
          <t>ÖDESHÖG</t>
        </is>
      </c>
      <c r="I124" t="n">
        <v>0.5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8515-2022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44613</v>
      </c>
      <c r="E125" s="1" t="n">
        <v>46322</v>
      </c>
      <c r="F125" t="inlineStr">
        <is>
          <t>ÖSTERGÖTLANDS LÄN</t>
        </is>
      </c>
      <c r="G125" t="inlineStr">
        <is>
          <t>ÖDESHÖG</t>
        </is>
      </c>
      <c r="I125" t="n">
        <v>2.1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61880-2021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44502</v>
      </c>
      <c r="E126" s="1" t="n">
        <v>46322</v>
      </c>
      <c r="F126" t="inlineStr">
        <is>
          <t>ÖSTERGÖTLANDS LÄN</t>
        </is>
      </c>
      <c r="G126" t="inlineStr">
        <is>
          <t>ÖDESHÖG</t>
        </is>
      </c>
      <c r="I126" t="n">
        <v>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1264-2026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46031</v>
      </c>
      <c r="E127" s="1" t="n">
        <v>46322</v>
      </c>
      <c r="F127" t="inlineStr">
        <is>
          <t>ÖSTERGÖTLANDS LÄN</t>
        </is>
      </c>
      <c r="G127" t="inlineStr">
        <is>
          <t>ÖDESHÖG</t>
        </is>
      </c>
      <c r="I127" t="n">
        <v>1.1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1273-2026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46031</v>
      </c>
      <c r="E128" s="1" t="n">
        <v>46322</v>
      </c>
      <c r="F128" t="inlineStr">
        <is>
          <t>ÖSTERGÖTLANDS LÄN</t>
        </is>
      </c>
      <c r="G128" t="inlineStr">
        <is>
          <t>ÖDESHÖG</t>
        </is>
      </c>
      <c r="I128" t="n">
        <v>1.9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1585-2026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46034</v>
      </c>
      <c r="E129" s="1" t="n">
        <v>46322</v>
      </c>
      <c r="F129" t="inlineStr">
        <is>
          <t>ÖSTERGÖTLANDS LÄN</t>
        </is>
      </c>
      <c r="G129" t="inlineStr">
        <is>
          <t>ÖDESHÖG</t>
        </is>
      </c>
      <c r="H129" t="inlineStr">
        <is>
          <t>Allmännings- och besparingsskogar</t>
        </is>
      </c>
      <c r="I129" t="n">
        <v>2.2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1589-2026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46034</v>
      </c>
      <c r="E130" s="1" t="n">
        <v>46322</v>
      </c>
      <c r="F130" t="inlineStr">
        <is>
          <t>ÖSTERGÖTLANDS LÄN</t>
        </is>
      </c>
      <c r="G130" t="inlineStr">
        <is>
          <t>ÖDESHÖG</t>
        </is>
      </c>
      <c r="H130" t="inlineStr">
        <is>
          <t>Allmännings- och besparingsskogar</t>
        </is>
      </c>
      <c r="I130" t="n">
        <v>3.7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33375-2024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45519</v>
      </c>
      <c r="E131" s="1" t="n">
        <v>46322</v>
      </c>
      <c r="F131" t="inlineStr">
        <is>
          <t>ÖSTERGÖTLANDS LÄN</t>
        </is>
      </c>
      <c r="G131" t="inlineStr">
        <is>
          <t>ÖDESHÖG</t>
        </is>
      </c>
      <c r="H131" t="inlineStr">
        <is>
          <t>Allmännings- och besparingsskogar</t>
        </is>
      </c>
      <c r="I131" t="n">
        <v>3.7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43263-2023</t>
        </is>
      </c>
      <c r="B132" t="inlineStr">
        <is>
          <t>avverkningsanmälan</t>
        </is>
      </c>
      <c r="C132" t="inlineStr">
        <is>
          <t>Avverkning för annat ändamål</t>
        </is>
      </c>
      <c r="D132" s="1" t="n">
        <v>45183</v>
      </c>
      <c r="E132" s="1" t="n">
        <v>46322</v>
      </c>
      <c r="F132" t="inlineStr">
        <is>
          <t>ÖSTERGÖTLANDS LÄN</t>
        </is>
      </c>
      <c r="G132" t="inlineStr">
        <is>
          <t>ÖDESHÖG</t>
        </is>
      </c>
      <c r="I132" t="n">
        <v>1.8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46536-2024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45582</v>
      </c>
      <c r="E133" s="1" t="n">
        <v>46322</v>
      </c>
      <c r="F133" t="inlineStr">
        <is>
          <t>ÖSTERGÖTLANDS LÄN</t>
        </is>
      </c>
      <c r="G133" t="inlineStr">
        <is>
          <t>ÖDESHÖG</t>
        </is>
      </c>
      <c r="I133" t="n">
        <v>1.3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38212-2023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45161</v>
      </c>
      <c r="E134" s="1" t="n">
        <v>46322</v>
      </c>
      <c r="F134" t="inlineStr">
        <is>
          <t>ÖSTERGÖTLANDS LÄN</t>
        </is>
      </c>
      <c r="G134" t="inlineStr">
        <is>
          <t>ÖDESHÖG</t>
        </is>
      </c>
      <c r="I134" t="n">
        <v>1.6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3130-2025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45678</v>
      </c>
      <c r="E135" s="1" t="n">
        <v>46322</v>
      </c>
      <c r="F135" t="inlineStr">
        <is>
          <t>ÖSTERGÖTLANDS LÄN</t>
        </is>
      </c>
      <c r="G135" t="inlineStr">
        <is>
          <t>ÖDESHÖG</t>
        </is>
      </c>
      <c r="H135" t="inlineStr">
        <is>
          <t>Allmännings- och besparingsskogar</t>
        </is>
      </c>
      <c r="I135" t="n">
        <v>18.6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30155-2026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46206</v>
      </c>
      <c r="E136" s="1" t="n">
        <v>46322</v>
      </c>
      <c r="F136" t="inlineStr">
        <is>
          <t>ÖSTERGÖTLANDS LÄN</t>
        </is>
      </c>
      <c r="G136" t="inlineStr">
        <is>
          <t>ÖDESHÖG</t>
        </is>
      </c>
      <c r="H136" t="inlineStr">
        <is>
          <t>Sveaskog</t>
        </is>
      </c>
      <c r="I136" t="n">
        <v>5.8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15907-2024</t>
        </is>
      </c>
      <c r="B137" t="inlineStr">
        <is>
          <t>avverkningsanmälan</t>
        </is>
      </c>
      <c r="C137" t="inlineStr">
        <is>
          <t>Avverkning för annat ändamål</t>
        </is>
      </c>
      <c r="D137" s="1" t="n">
        <v>45405</v>
      </c>
      <c r="E137" s="1" t="n">
        <v>46322</v>
      </c>
      <c r="F137" t="inlineStr">
        <is>
          <t>ÖSTERGÖTLANDS LÄN</t>
        </is>
      </c>
      <c r="G137" t="inlineStr">
        <is>
          <t>ÖDESHÖG</t>
        </is>
      </c>
      <c r="I137" t="n">
        <v>0.5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15915-2024</t>
        </is>
      </c>
      <c r="B138" t="inlineStr">
        <is>
          <t>avverkningsanmälan</t>
        </is>
      </c>
      <c r="C138" t="inlineStr">
        <is>
          <t>Avverkning för annat ändamål</t>
        </is>
      </c>
      <c r="D138" s="1" t="n">
        <v>45405</v>
      </c>
      <c r="E138" s="1" t="n">
        <v>46322</v>
      </c>
      <c r="F138" t="inlineStr">
        <is>
          <t>ÖSTERGÖTLANDS LÄN</t>
        </is>
      </c>
      <c r="G138" t="inlineStr">
        <is>
          <t>ÖDESHÖG</t>
        </is>
      </c>
      <c r="I138" t="n">
        <v>0.4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7375-2026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46059</v>
      </c>
      <c r="E139" s="1" t="n">
        <v>46322</v>
      </c>
      <c r="F139" t="inlineStr">
        <is>
          <t>ÖSTERGÖTLANDS LÄN</t>
        </is>
      </c>
      <c r="G139" t="inlineStr">
        <is>
          <t>ÖDESHÖG</t>
        </is>
      </c>
      <c r="I139" t="n">
        <v>1.9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20232-2022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44698</v>
      </c>
      <c r="E140" s="1" t="n">
        <v>46322</v>
      </c>
      <c r="F140" t="inlineStr">
        <is>
          <t>ÖSTERGÖTLANDS LÄN</t>
        </is>
      </c>
      <c r="G140" t="inlineStr">
        <is>
          <t>ÖDESHÖG</t>
        </is>
      </c>
      <c r="H140" t="inlineStr">
        <is>
          <t>Allmännings- och besparingsskogar</t>
        </is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8118-2026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46062</v>
      </c>
      <c r="E141" s="1" t="n">
        <v>46322</v>
      </c>
      <c r="F141" t="inlineStr">
        <is>
          <t>ÖSTERGÖTLANDS LÄN</t>
        </is>
      </c>
      <c r="G141" t="inlineStr">
        <is>
          <t>ÖDESHÖG</t>
        </is>
      </c>
      <c r="I141" t="n">
        <v>13.4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50358-2025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45944</v>
      </c>
      <c r="E142" s="1" t="n">
        <v>46322</v>
      </c>
      <c r="F142" t="inlineStr">
        <is>
          <t>ÖSTERGÖTLANDS LÄN</t>
        </is>
      </c>
      <c r="G142" t="inlineStr">
        <is>
          <t>ÖDESHÖG</t>
        </is>
      </c>
      <c r="I142" t="n">
        <v>4.1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8063-2025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45707</v>
      </c>
      <c r="E143" s="1" t="n">
        <v>46322</v>
      </c>
      <c r="F143" t="inlineStr">
        <is>
          <t>ÖSTERGÖTLANDS LÄN</t>
        </is>
      </c>
      <c r="G143" t="inlineStr">
        <is>
          <t>ÖDESHÖG</t>
        </is>
      </c>
      <c r="I143" t="n">
        <v>2.1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31447-2026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46220</v>
      </c>
      <c r="E144" s="1" t="n">
        <v>46322</v>
      </c>
      <c r="F144" t="inlineStr">
        <is>
          <t>ÖSTERGÖTLANDS LÄN</t>
        </is>
      </c>
      <c r="G144" t="inlineStr">
        <is>
          <t>ÖDESHÖG</t>
        </is>
      </c>
      <c r="I144" t="n">
        <v>0.6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32715-2024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45516</v>
      </c>
      <c r="E145" s="1" t="n">
        <v>46322</v>
      </c>
      <c r="F145" t="inlineStr">
        <is>
          <t>ÖSTERGÖTLANDS LÄN</t>
        </is>
      </c>
      <c r="G145" t="inlineStr">
        <is>
          <t>ÖDESHÖG</t>
        </is>
      </c>
      <c r="I145" t="n">
        <v>0.5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6465-2025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45699</v>
      </c>
      <c r="E146" s="1" t="n">
        <v>46322</v>
      </c>
      <c r="F146" t="inlineStr">
        <is>
          <t>ÖSTERGÖTLANDS LÄN</t>
        </is>
      </c>
      <c r="G146" t="inlineStr">
        <is>
          <t>ÖDESHÖG</t>
        </is>
      </c>
      <c r="I146" t="n">
        <v>1.1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1749-2025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45671</v>
      </c>
      <c r="E147" s="1" t="n">
        <v>46322</v>
      </c>
      <c r="F147" t="inlineStr">
        <is>
          <t>ÖSTERGÖTLANDS LÄN</t>
        </is>
      </c>
      <c r="G147" t="inlineStr">
        <is>
          <t>ÖDESHÖG</t>
        </is>
      </c>
      <c r="I147" t="n">
        <v>1.7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12872-2026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46092</v>
      </c>
      <c r="E148" s="1" t="n">
        <v>46322</v>
      </c>
      <c r="F148" t="inlineStr">
        <is>
          <t>ÖSTERGÖTLANDS LÄN</t>
        </is>
      </c>
      <c r="G148" t="inlineStr">
        <is>
          <t>ÖDESHÖG</t>
        </is>
      </c>
      <c r="I148" t="n">
        <v>1.2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12859-2026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46092</v>
      </c>
      <c r="E149" s="1" t="n">
        <v>46322</v>
      </c>
      <c r="F149" t="inlineStr">
        <is>
          <t>ÖSTERGÖTLANDS LÄN</t>
        </is>
      </c>
      <c r="G149" t="inlineStr">
        <is>
          <t>ÖDESHÖG</t>
        </is>
      </c>
      <c r="I149" t="n">
        <v>0.8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17126-2024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45412</v>
      </c>
      <c r="E150" s="1" t="n">
        <v>46322</v>
      </c>
      <c r="F150" t="inlineStr">
        <is>
          <t>ÖSTERGÖTLANDS LÄN</t>
        </is>
      </c>
      <c r="G150" t="inlineStr">
        <is>
          <t>ÖDESHÖG</t>
        </is>
      </c>
      <c r="I150" t="n">
        <v>0.6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4678-2024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45328</v>
      </c>
      <c r="E151" s="1" t="n">
        <v>46322</v>
      </c>
      <c r="F151" t="inlineStr">
        <is>
          <t>ÖSTERGÖTLANDS LÄN</t>
        </is>
      </c>
      <c r="G151" t="inlineStr">
        <is>
          <t>ÖDESHÖG</t>
        </is>
      </c>
      <c r="I151" t="n">
        <v>0.7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14617-2026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46101</v>
      </c>
      <c r="E152" s="1" t="n">
        <v>46322</v>
      </c>
      <c r="F152" t="inlineStr">
        <is>
          <t>ÖSTERGÖTLANDS LÄN</t>
        </is>
      </c>
      <c r="G152" t="inlineStr">
        <is>
          <t>ÖDESHÖG</t>
        </is>
      </c>
      <c r="I152" t="n">
        <v>0.6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21771-2023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45065</v>
      </c>
      <c r="E153" s="1" t="n">
        <v>46322</v>
      </c>
      <c r="F153" t="inlineStr">
        <is>
          <t>ÖSTERGÖTLANDS LÄN</t>
        </is>
      </c>
      <c r="G153" t="inlineStr">
        <is>
          <t>ÖDESHÖG</t>
        </is>
      </c>
      <c r="I153" t="n">
        <v>5.5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64802-2021</t>
        </is>
      </c>
      <c r="B154" t="inlineStr">
        <is>
          <t>avverkningsanmälan</t>
        </is>
      </c>
      <c r="C154" t="inlineStr">
        <is>
          <t>Avverkning för annat ändamål</t>
        </is>
      </c>
      <c r="D154" s="1" t="n">
        <v>44512</v>
      </c>
      <c r="E154" s="1" t="n">
        <v>46322</v>
      </c>
      <c r="F154" t="inlineStr">
        <is>
          <t>ÖSTERGÖTLANDS LÄN</t>
        </is>
      </c>
      <c r="G154" t="inlineStr">
        <is>
          <t>ÖDESHÖG</t>
        </is>
      </c>
      <c r="I154" t="n">
        <v>2.5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37991-2026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46280</v>
      </c>
      <c r="E155" s="1" t="n">
        <v>46322</v>
      </c>
      <c r="F155" t="inlineStr">
        <is>
          <t>ÖSTERGÖTLANDS LÄN</t>
        </is>
      </c>
      <c r="G155" t="inlineStr">
        <is>
          <t>ÖDESHÖG</t>
        </is>
      </c>
      <c r="I155" t="n">
        <v>4.9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16370-2026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46111</v>
      </c>
      <c r="E156" s="1" t="n">
        <v>46322</v>
      </c>
      <c r="F156" t="inlineStr">
        <is>
          <t>ÖSTERGÖTLANDS LÄN</t>
        </is>
      </c>
      <c r="G156" t="inlineStr">
        <is>
          <t>ÖDESHÖG</t>
        </is>
      </c>
      <c r="H156" t="inlineStr">
        <is>
          <t>Allmännings- och besparingsskogar</t>
        </is>
      </c>
      <c r="I156" t="n">
        <v>6.9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16128-2025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45750</v>
      </c>
      <c r="E157" s="1" t="n">
        <v>46322</v>
      </c>
      <c r="F157" t="inlineStr">
        <is>
          <t>ÖSTERGÖTLANDS LÄN</t>
        </is>
      </c>
      <c r="G157" t="inlineStr">
        <is>
          <t>ÖDESHÖG</t>
        </is>
      </c>
      <c r="H157" t="inlineStr">
        <is>
          <t>Allmännings- och besparingsskogar</t>
        </is>
      </c>
      <c r="I157" t="n">
        <v>1.6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16414-2026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46111</v>
      </c>
      <c r="E158" s="1" t="n">
        <v>46322</v>
      </c>
      <c r="F158" t="inlineStr">
        <is>
          <t>ÖSTERGÖTLANDS LÄN</t>
        </is>
      </c>
      <c r="G158" t="inlineStr">
        <is>
          <t>ÖDESHÖG</t>
        </is>
      </c>
      <c r="H158" t="inlineStr">
        <is>
          <t>Allmännings- och besparingsskogar</t>
        </is>
      </c>
      <c r="I158" t="n">
        <v>8.199999999999999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16402-2026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46111</v>
      </c>
      <c r="E159" s="1" t="n">
        <v>46322</v>
      </c>
      <c r="F159" t="inlineStr">
        <is>
          <t>ÖSTERGÖTLANDS LÄN</t>
        </is>
      </c>
      <c r="G159" t="inlineStr">
        <is>
          <t>ÖDESHÖG</t>
        </is>
      </c>
      <c r="H159" t="inlineStr">
        <is>
          <t>Allmännings- och besparingsskogar</t>
        </is>
      </c>
      <c r="I159" t="n">
        <v>2.8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16341-2026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46111</v>
      </c>
      <c r="E160" s="1" t="n">
        <v>46322</v>
      </c>
      <c r="F160" t="inlineStr">
        <is>
          <t>ÖSTERGÖTLANDS LÄN</t>
        </is>
      </c>
      <c r="G160" t="inlineStr">
        <is>
          <t>ÖDESHÖG</t>
        </is>
      </c>
      <c r="H160" t="inlineStr">
        <is>
          <t>Allmännings- och besparingsskogar</t>
        </is>
      </c>
      <c r="I160" t="n">
        <v>1.3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3149-2024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45316</v>
      </c>
      <c r="E161" s="1" t="n">
        <v>46322</v>
      </c>
      <c r="F161" t="inlineStr">
        <is>
          <t>ÖSTERGÖTLANDS LÄN</t>
        </is>
      </c>
      <c r="G161" t="inlineStr">
        <is>
          <t>ÖDESHÖG</t>
        </is>
      </c>
      <c r="I161" t="n">
        <v>0.7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51180-2024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45603</v>
      </c>
      <c r="E162" s="1" t="n">
        <v>46322</v>
      </c>
      <c r="F162" t="inlineStr">
        <is>
          <t>ÖSTERGÖTLANDS LÄN</t>
        </is>
      </c>
      <c r="G162" t="inlineStr">
        <is>
          <t>ÖDESHÖG</t>
        </is>
      </c>
      <c r="I162" t="n">
        <v>1.3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35229-2023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45145</v>
      </c>
      <c r="E163" s="1" t="n">
        <v>46322</v>
      </c>
      <c r="F163" t="inlineStr">
        <is>
          <t>ÖSTERGÖTLANDS LÄN</t>
        </is>
      </c>
      <c r="G163" t="inlineStr">
        <is>
          <t>ÖDESHÖG</t>
        </is>
      </c>
      <c r="I163" t="n">
        <v>2.3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16259-2026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46109</v>
      </c>
      <c r="E164" s="1" t="n">
        <v>46322</v>
      </c>
      <c r="F164" t="inlineStr">
        <is>
          <t>ÖSTERGÖTLANDS LÄN</t>
        </is>
      </c>
      <c r="G164" t="inlineStr">
        <is>
          <t>ÖDESHÖG</t>
        </is>
      </c>
      <c r="I164" t="n">
        <v>1.4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16262-2026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46109</v>
      </c>
      <c r="E165" s="1" t="n">
        <v>46322</v>
      </c>
      <c r="F165" t="inlineStr">
        <is>
          <t>ÖSTERGÖTLANDS LÄN</t>
        </is>
      </c>
      <c r="G165" t="inlineStr">
        <is>
          <t>ÖDESHÖG</t>
        </is>
      </c>
      <c r="I165" t="n">
        <v>0.5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17950-2026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46122</v>
      </c>
      <c r="E166" s="1" t="n">
        <v>46322</v>
      </c>
      <c r="F166" t="inlineStr">
        <is>
          <t>ÖSTERGÖTLANDS LÄN</t>
        </is>
      </c>
      <c r="G166" t="inlineStr">
        <is>
          <t>ÖDESHÖG</t>
        </is>
      </c>
      <c r="I166" t="n">
        <v>4.6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51178-2024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45603</v>
      </c>
      <c r="E167" s="1" t="n">
        <v>46322</v>
      </c>
      <c r="F167" t="inlineStr">
        <is>
          <t>ÖSTERGÖTLANDS LÄN</t>
        </is>
      </c>
      <c r="G167" t="inlineStr">
        <is>
          <t>ÖDESHÖG</t>
        </is>
      </c>
      <c r="I167" t="n">
        <v>0.5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19157-2023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45048</v>
      </c>
      <c r="E168" s="1" t="n">
        <v>46322</v>
      </c>
      <c r="F168" t="inlineStr">
        <is>
          <t>ÖSTERGÖTLANDS LÄN</t>
        </is>
      </c>
      <c r="G168" t="inlineStr">
        <is>
          <t>ÖDESHÖG</t>
        </is>
      </c>
      <c r="I168" t="n">
        <v>0.5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55971-2023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45240</v>
      </c>
      <c r="E169" s="1" t="n">
        <v>46322</v>
      </c>
      <c r="F169" t="inlineStr">
        <is>
          <t>ÖSTERGÖTLANDS LÄN</t>
        </is>
      </c>
      <c r="G169" t="inlineStr">
        <is>
          <t>ÖDESHÖG</t>
        </is>
      </c>
      <c r="I169" t="n">
        <v>0.6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16164-2023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45027</v>
      </c>
      <c r="E170" s="1" t="n">
        <v>46322</v>
      </c>
      <c r="F170" t="inlineStr">
        <is>
          <t>ÖSTERGÖTLANDS LÄN</t>
        </is>
      </c>
      <c r="G170" t="inlineStr">
        <is>
          <t>ÖDESHÖG</t>
        </is>
      </c>
      <c r="H170" t="inlineStr">
        <is>
          <t>Allmännings- och besparingsskogar</t>
        </is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39024-2023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45163</v>
      </c>
      <c r="E171" s="1" t="n">
        <v>46322</v>
      </c>
      <c r="F171" t="inlineStr">
        <is>
          <t>ÖSTERGÖTLANDS LÄN</t>
        </is>
      </c>
      <c r="G171" t="inlineStr">
        <is>
          <t>ÖDESHÖG</t>
        </is>
      </c>
      <c r="H171" t="inlineStr">
        <is>
          <t>Allmännings- och besparingsskogar</t>
        </is>
      </c>
      <c r="I171" t="n">
        <v>4.7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47597-2023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45203</v>
      </c>
      <c r="E172" s="1" t="n">
        <v>46322</v>
      </c>
      <c r="F172" t="inlineStr">
        <is>
          <t>ÖSTERGÖTLANDS LÄN</t>
        </is>
      </c>
      <c r="G172" t="inlineStr">
        <is>
          <t>ÖDESHÖG</t>
        </is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14166-2023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45009</v>
      </c>
      <c r="E173" s="1" t="n">
        <v>46322</v>
      </c>
      <c r="F173" t="inlineStr">
        <is>
          <t>ÖSTERGÖTLANDS LÄN</t>
        </is>
      </c>
      <c r="G173" t="inlineStr">
        <is>
          <t>ÖDESHÖG</t>
        </is>
      </c>
      <c r="I173" t="n">
        <v>0.8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39027-2023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45163</v>
      </c>
      <c r="E174" s="1" t="n">
        <v>46322</v>
      </c>
      <c r="F174" t="inlineStr">
        <is>
          <t>ÖSTERGÖTLANDS LÄN</t>
        </is>
      </c>
      <c r="G174" t="inlineStr">
        <is>
          <t>ÖDESHÖG</t>
        </is>
      </c>
      <c r="H174" t="inlineStr">
        <is>
          <t>Allmännings- och besparingsskogar</t>
        </is>
      </c>
      <c r="I174" t="n">
        <v>2.9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15344-2025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45747</v>
      </c>
      <c r="E175" s="1" t="n">
        <v>46322</v>
      </c>
      <c r="F175" t="inlineStr">
        <is>
          <t>ÖSTERGÖTLANDS LÄN</t>
        </is>
      </c>
      <c r="G175" t="inlineStr">
        <is>
          <t>ÖDESHÖG</t>
        </is>
      </c>
      <c r="I175" t="n">
        <v>0.5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10335-2022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44623</v>
      </c>
      <c r="E176" s="1" t="n">
        <v>46322</v>
      </c>
      <c r="F176" t="inlineStr">
        <is>
          <t>ÖSTERGÖTLANDS LÄN</t>
        </is>
      </c>
      <c r="G176" t="inlineStr">
        <is>
          <t>ÖDESHÖG</t>
        </is>
      </c>
      <c r="I176" t="n">
        <v>1.4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35095-2023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45145</v>
      </c>
      <c r="E177" s="1" t="n">
        <v>46322</v>
      </c>
      <c r="F177" t="inlineStr">
        <is>
          <t>ÖSTERGÖTLANDS LÄN</t>
        </is>
      </c>
      <c r="G177" t="inlineStr">
        <is>
          <t>ÖDESHÖG</t>
        </is>
      </c>
      <c r="I177" t="n">
        <v>0.5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20612-2022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44700</v>
      </c>
      <c r="E178" s="1" t="n">
        <v>46322</v>
      </c>
      <c r="F178" t="inlineStr">
        <is>
          <t>ÖSTERGÖTLANDS LÄN</t>
        </is>
      </c>
      <c r="G178" t="inlineStr">
        <is>
          <t>ÖDESHÖG</t>
        </is>
      </c>
      <c r="H178" t="inlineStr">
        <is>
          <t>Allmännings- och besparingsskogar</t>
        </is>
      </c>
      <c r="I178" t="n">
        <v>8.9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15198-2022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44658</v>
      </c>
      <c r="E179" s="1" t="n">
        <v>46322</v>
      </c>
      <c r="F179" t="inlineStr">
        <is>
          <t>ÖSTERGÖTLANDS LÄN</t>
        </is>
      </c>
      <c r="G179" t="inlineStr">
        <is>
          <t>ÖDESHÖG</t>
        </is>
      </c>
      <c r="I179" t="n">
        <v>2.3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5350-2025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45692</v>
      </c>
      <c r="E180" s="1" t="n">
        <v>46322</v>
      </c>
      <c r="F180" t="inlineStr">
        <is>
          <t>ÖSTERGÖTLANDS LÄN</t>
        </is>
      </c>
      <c r="G180" t="inlineStr">
        <is>
          <t>ÖDESHÖG</t>
        </is>
      </c>
      <c r="I180" t="n">
        <v>2.4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6375-2025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45699</v>
      </c>
      <c r="E181" s="1" t="n">
        <v>46322</v>
      </c>
      <c r="F181" t="inlineStr">
        <is>
          <t>ÖSTERGÖTLANDS LÄN</t>
        </is>
      </c>
      <c r="G181" t="inlineStr">
        <is>
          <t>ÖDESHÖG</t>
        </is>
      </c>
      <c r="I181" t="n">
        <v>1.1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6592-2025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45700</v>
      </c>
      <c r="E182" s="1" t="n">
        <v>46322</v>
      </c>
      <c r="F182" t="inlineStr">
        <is>
          <t>ÖSTERGÖTLANDS LÄN</t>
        </is>
      </c>
      <c r="G182" t="inlineStr">
        <is>
          <t>ÖDESHÖG</t>
        </is>
      </c>
      <c r="I182" t="n">
        <v>1.1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37843-2023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45160</v>
      </c>
      <c r="E183" s="1" t="n">
        <v>46322</v>
      </c>
      <c r="F183" t="inlineStr">
        <is>
          <t>ÖSTERGÖTLANDS LÄN</t>
        </is>
      </c>
      <c r="G183" t="inlineStr">
        <is>
          <t>ÖDESHÖG</t>
        </is>
      </c>
      <c r="I183" t="n">
        <v>4.8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6506-2025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45699</v>
      </c>
      <c r="E184" s="1" t="n">
        <v>46322</v>
      </c>
      <c r="F184" t="inlineStr">
        <is>
          <t>ÖSTERGÖTLANDS LÄN</t>
        </is>
      </c>
      <c r="G184" t="inlineStr">
        <is>
          <t>ÖDESHÖG</t>
        </is>
      </c>
      <c r="I184" t="n">
        <v>0.6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165-2026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46024</v>
      </c>
      <c r="E185" s="1" t="n">
        <v>46322</v>
      </c>
      <c r="F185" t="inlineStr">
        <is>
          <t>ÖSTERGÖTLANDS LÄN</t>
        </is>
      </c>
      <c r="G185" t="inlineStr">
        <is>
          <t>ÖDESHÖG</t>
        </is>
      </c>
      <c r="I185" t="n">
        <v>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5283-2024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45331</v>
      </c>
      <c r="E186" s="1" t="n">
        <v>46322</v>
      </c>
      <c r="F186" t="inlineStr">
        <is>
          <t>ÖSTERGÖTLANDS LÄN</t>
        </is>
      </c>
      <c r="G186" t="inlineStr">
        <is>
          <t>ÖDESHÖG</t>
        </is>
      </c>
      <c r="I186" t="n">
        <v>3.3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63074-2025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46009</v>
      </c>
      <c r="E187" s="1" t="n">
        <v>46322</v>
      </c>
      <c r="F187" t="inlineStr">
        <is>
          <t>ÖSTERGÖTLANDS LÄN</t>
        </is>
      </c>
      <c r="G187" t="inlineStr">
        <is>
          <t>ÖDESHÖG</t>
        </is>
      </c>
      <c r="H187" t="inlineStr">
        <is>
          <t>Allmännings- och besparingsskogar</t>
        </is>
      </c>
      <c r="I187" t="n">
        <v>8.699999999999999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38723-2023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45163</v>
      </c>
      <c r="E188" s="1" t="n">
        <v>46322</v>
      </c>
      <c r="F188" t="inlineStr">
        <is>
          <t>ÖSTERGÖTLANDS LÄN</t>
        </is>
      </c>
      <c r="G188" t="inlineStr">
        <is>
          <t>ÖDESHÖG</t>
        </is>
      </c>
      <c r="I188" t="n">
        <v>0.5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39658-2026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46289</v>
      </c>
      <c r="E189" s="1" t="n">
        <v>46322</v>
      </c>
      <c r="F189" t="inlineStr">
        <is>
          <t>ÖSTERGÖTLANDS LÄN</t>
        </is>
      </c>
      <c r="G189" t="inlineStr">
        <is>
          <t>ÖDESHÖG</t>
        </is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50387-2024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45600</v>
      </c>
      <c r="E190" s="1" t="n">
        <v>46322</v>
      </c>
      <c r="F190" t="inlineStr">
        <is>
          <t>ÖSTERGÖTLANDS LÄN</t>
        </is>
      </c>
      <c r="G190" t="inlineStr">
        <is>
          <t>ÖDESHÖG</t>
        </is>
      </c>
      <c r="I190" t="n">
        <v>8.5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2512-2024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45313</v>
      </c>
      <c r="E191" s="1" t="n">
        <v>46322</v>
      </c>
      <c r="F191" t="inlineStr">
        <is>
          <t>ÖSTERGÖTLANDS LÄN</t>
        </is>
      </c>
      <c r="G191" t="inlineStr">
        <is>
          <t>ÖDESHÖG</t>
        </is>
      </c>
      <c r="I191" t="n">
        <v>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64709-2023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45281</v>
      </c>
      <c r="E192" s="1" t="n">
        <v>46322</v>
      </c>
      <c r="F192" t="inlineStr">
        <is>
          <t>ÖSTERGÖTLANDS LÄN</t>
        </is>
      </c>
      <c r="G192" t="inlineStr">
        <is>
          <t>ÖDESHÖG</t>
        </is>
      </c>
      <c r="I192" t="n">
        <v>1.5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64710-2023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45281</v>
      </c>
      <c r="E193" s="1" t="n">
        <v>46322</v>
      </c>
      <c r="F193" t="inlineStr">
        <is>
          <t>ÖSTERGÖTLANDS LÄN</t>
        </is>
      </c>
      <c r="G193" t="inlineStr">
        <is>
          <t>ÖDESHÖG</t>
        </is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36730-2023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45153</v>
      </c>
      <c r="E194" s="1" t="n">
        <v>46322</v>
      </c>
      <c r="F194" t="inlineStr">
        <is>
          <t>ÖSTERGÖTLANDS LÄN</t>
        </is>
      </c>
      <c r="G194" t="inlineStr">
        <is>
          <t>ÖDESHÖG</t>
        </is>
      </c>
      <c r="I194" t="n">
        <v>3.2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63115-2025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46009</v>
      </c>
      <c r="E195" s="1" t="n">
        <v>46322</v>
      </c>
      <c r="F195" t="inlineStr">
        <is>
          <t>ÖSTERGÖTLANDS LÄN</t>
        </is>
      </c>
      <c r="G195" t="inlineStr">
        <is>
          <t>ÖDESHÖG</t>
        </is>
      </c>
      <c r="I195" t="n">
        <v>3.8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16168-2023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45027</v>
      </c>
      <c r="E196" s="1" t="n">
        <v>46322</v>
      </c>
      <c r="F196" t="inlineStr">
        <is>
          <t>ÖSTERGÖTLANDS LÄN</t>
        </is>
      </c>
      <c r="G196" t="inlineStr">
        <is>
          <t>ÖDESHÖG</t>
        </is>
      </c>
      <c r="H196" t="inlineStr">
        <is>
          <t>Allmännings- och besparingsskogar</t>
        </is>
      </c>
      <c r="I196" t="n">
        <v>3.4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21770-2023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45065</v>
      </c>
      <c r="E197" s="1" t="n">
        <v>46322</v>
      </c>
      <c r="F197" t="inlineStr">
        <is>
          <t>ÖSTERGÖTLANDS LÄN</t>
        </is>
      </c>
      <c r="G197" t="inlineStr">
        <is>
          <t>ÖDESHÖG</t>
        </is>
      </c>
      <c r="I197" t="n">
        <v>1.8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36099-2024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45533</v>
      </c>
      <c r="E198" s="1" t="n">
        <v>46322</v>
      </c>
      <c r="F198" t="inlineStr">
        <is>
          <t>ÖSTERGÖTLANDS LÄN</t>
        </is>
      </c>
      <c r="G198" t="inlineStr">
        <is>
          <t>ÖDESHÖG</t>
        </is>
      </c>
      <c r="I198" t="n">
        <v>1.1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38718-2023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45163</v>
      </c>
      <c r="E199" s="1" t="n">
        <v>46322</v>
      </c>
      <c r="F199" t="inlineStr">
        <is>
          <t>ÖSTERGÖTLANDS LÄN</t>
        </is>
      </c>
      <c r="G199" t="inlineStr">
        <is>
          <t>ÖDESHÖG</t>
        </is>
      </c>
      <c r="I199" t="n">
        <v>3.2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61011-2024</t>
        </is>
      </c>
      <c r="B200" t="inlineStr">
        <is>
          <t>avverkningsanmälan</t>
        </is>
      </c>
      <c r="C200" t="inlineStr">
        <is>
          <t>Avverkning för att bevara och utveckla /försöksver</t>
        </is>
      </c>
      <c r="D200" s="1" t="n">
        <v>45645</v>
      </c>
      <c r="E200" s="1" t="n">
        <v>46322</v>
      </c>
      <c r="F200" t="inlineStr">
        <is>
          <t>ÖSTERGÖTLANDS LÄN</t>
        </is>
      </c>
      <c r="G200" t="inlineStr">
        <is>
          <t>ÖDESHÖG</t>
        </is>
      </c>
      <c r="I200" t="n">
        <v>4.7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1337-2026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46031</v>
      </c>
      <c r="E201" s="1" t="n">
        <v>46322</v>
      </c>
      <c r="F201" t="inlineStr">
        <is>
          <t>ÖSTERGÖTLANDS LÄN</t>
        </is>
      </c>
      <c r="G201" t="inlineStr">
        <is>
          <t>ÖDESHÖG</t>
        </is>
      </c>
      <c r="I201" t="n">
        <v>3.3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32464-2025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45838</v>
      </c>
      <c r="E202" s="1" t="n">
        <v>46322</v>
      </c>
      <c r="F202" t="inlineStr">
        <is>
          <t>ÖSTERGÖTLANDS LÄN</t>
        </is>
      </c>
      <c r="G202" t="inlineStr">
        <is>
          <t>ÖDESHÖG</t>
        </is>
      </c>
      <c r="I202" t="n">
        <v>1.4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8067-2025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45707</v>
      </c>
      <c r="E203" s="1" t="n">
        <v>46322</v>
      </c>
      <c r="F203" t="inlineStr">
        <is>
          <t>ÖSTERGÖTLANDS LÄN</t>
        </is>
      </c>
      <c r="G203" t="inlineStr">
        <is>
          <t>ÖDESHÖG</t>
        </is>
      </c>
      <c r="I203" t="n">
        <v>0.9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15906-2024</t>
        </is>
      </c>
      <c r="B204" t="inlineStr">
        <is>
          <t>avverkningsanmälan</t>
        </is>
      </c>
      <c r="C204" t="inlineStr">
        <is>
          <t>Avverkning för annat ändamål</t>
        </is>
      </c>
      <c r="D204" s="1" t="n">
        <v>45405</v>
      </c>
      <c r="E204" s="1" t="n">
        <v>46322</v>
      </c>
      <c r="F204" t="inlineStr">
        <is>
          <t>ÖSTERGÖTLANDS LÄN</t>
        </is>
      </c>
      <c r="G204" t="inlineStr">
        <is>
          <t>ÖDESHÖG</t>
        </is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35097-2023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45145</v>
      </c>
      <c r="E205" s="1" t="n">
        <v>46322</v>
      </c>
      <c r="F205" t="inlineStr">
        <is>
          <t>ÖSTERGÖTLANDS LÄN</t>
        </is>
      </c>
      <c r="G205" t="inlineStr">
        <is>
          <t>ÖDESHÖG</t>
        </is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30945-2023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45113</v>
      </c>
      <c r="E206" s="1" t="n">
        <v>46322</v>
      </c>
      <c r="F206" t="inlineStr">
        <is>
          <t>ÖSTERGÖTLANDS LÄN</t>
        </is>
      </c>
      <c r="G206" t="inlineStr">
        <is>
          <t>ÖDESHÖG</t>
        </is>
      </c>
      <c r="I206" t="n">
        <v>2.9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30964-2023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45113</v>
      </c>
      <c r="E207" s="1" t="n">
        <v>46322</v>
      </c>
      <c r="F207" t="inlineStr">
        <is>
          <t>ÖSTERGÖTLANDS LÄN</t>
        </is>
      </c>
      <c r="G207" t="inlineStr">
        <is>
          <t>ÖDESHÖG</t>
        </is>
      </c>
      <c r="I207" t="n">
        <v>0.7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25895-2026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46178</v>
      </c>
      <c r="E208" s="1" t="n">
        <v>46322</v>
      </c>
      <c r="F208" t="inlineStr">
        <is>
          <t>ÖSTERGÖTLANDS LÄN</t>
        </is>
      </c>
      <c r="G208" t="inlineStr">
        <is>
          <t>ÖDESHÖG</t>
        </is>
      </c>
      <c r="I208" t="n">
        <v>1.5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25863-2026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46178</v>
      </c>
      <c r="E209" s="1" t="n">
        <v>46322</v>
      </c>
      <c r="F209" t="inlineStr">
        <is>
          <t>ÖSTERGÖTLANDS LÄN</t>
        </is>
      </c>
      <c r="G209" t="inlineStr">
        <is>
          <t>ÖDESHÖG</t>
        </is>
      </c>
      <c r="I209" t="n">
        <v>0.5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25816-2026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46178</v>
      </c>
      <c r="E210" s="1" t="n">
        <v>46322</v>
      </c>
      <c r="F210" t="inlineStr">
        <is>
          <t>ÖSTERGÖTLANDS LÄN</t>
        </is>
      </c>
      <c r="G210" t="inlineStr">
        <is>
          <t>ÖDESHÖG</t>
        </is>
      </c>
      <c r="I210" t="n">
        <v>1.3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25975-2026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46181</v>
      </c>
      <c r="E211" s="1" t="n">
        <v>46322</v>
      </c>
      <c r="F211" t="inlineStr">
        <is>
          <t>ÖSTERGÖTLANDS LÄN</t>
        </is>
      </c>
      <c r="G211" t="inlineStr">
        <is>
          <t>ÖDESHÖG</t>
        </is>
      </c>
      <c r="I211" t="n">
        <v>2.6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27292-2026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46184</v>
      </c>
      <c r="E212" s="1" t="n">
        <v>46322</v>
      </c>
      <c r="F212" t="inlineStr">
        <is>
          <t>ÖSTERGÖTLANDS LÄN</t>
        </is>
      </c>
      <c r="G212" t="inlineStr">
        <is>
          <t>ÖDESHÖG</t>
        </is>
      </c>
      <c r="I212" t="n">
        <v>4.7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48325-2022</t>
        </is>
      </c>
      <c r="B213" t="inlineStr">
        <is>
          <t>avverkningsanmälan</t>
        </is>
      </c>
      <c r="C213" t="inlineStr">
        <is>
          <t>Avverkning för annat ändamål</t>
        </is>
      </c>
      <c r="D213" s="1" t="n">
        <v>44858</v>
      </c>
      <c r="E213" s="1" t="n">
        <v>46322</v>
      </c>
      <c r="F213" t="inlineStr">
        <is>
          <t>ÖSTERGÖTLANDS LÄN</t>
        </is>
      </c>
      <c r="G213" t="inlineStr">
        <is>
          <t>ÖDESHÖG</t>
        </is>
      </c>
      <c r="H213" t="inlineStr">
        <is>
          <t>Allmännings- och besparingsskogar</t>
        </is>
      </c>
      <c r="I213" t="n">
        <v>1.8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11699-2024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45373</v>
      </c>
      <c r="E214" s="1" t="n">
        <v>46322</v>
      </c>
      <c r="F214" t="inlineStr">
        <is>
          <t>ÖSTERGÖTLANDS LÄN</t>
        </is>
      </c>
      <c r="G214" t="inlineStr">
        <is>
          <t>ÖDESHÖG</t>
        </is>
      </c>
      <c r="I214" t="n">
        <v>2.4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11704-2024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45373</v>
      </c>
      <c r="E215" s="1" t="n">
        <v>46322</v>
      </c>
      <c r="F215" t="inlineStr">
        <is>
          <t>ÖSTERGÖTLANDS LÄN</t>
        </is>
      </c>
      <c r="G215" t="inlineStr">
        <is>
          <t>ÖDESHÖG</t>
        </is>
      </c>
      <c r="I215" t="n">
        <v>0.5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11193-2023</t>
        </is>
      </c>
      <c r="B216" t="inlineStr">
        <is>
          <t>avverkningsanmälan</t>
        </is>
      </c>
      <c r="C216" t="inlineStr">
        <is>
          <t>Avverkning för annat ändamål</t>
        </is>
      </c>
      <c r="D216" s="1" t="n">
        <v>44992</v>
      </c>
      <c r="E216" s="1" t="n">
        <v>46322</v>
      </c>
      <c r="F216" t="inlineStr">
        <is>
          <t>ÖSTERGÖTLANDS LÄN</t>
        </is>
      </c>
      <c r="G216" t="inlineStr">
        <is>
          <t>ÖDESHÖG</t>
        </is>
      </c>
      <c r="I216" t="n">
        <v>2.9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8049-2025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45707</v>
      </c>
      <c r="E217" s="1" t="n">
        <v>46322</v>
      </c>
      <c r="F217" t="inlineStr">
        <is>
          <t>ÖSTERGÖTLANDS LÄN</t>
        </is>
      </c>
      <c r="G217" t="inlineStr">
        <is>
          <t>ÖDESHÖG</t>
        </is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30389-2024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45491</v>
      </c>
      <c r="E218" s="1" t="n">
        <v>46322</v>
      </c>
      <c r="F218" t="inlineStr">
        <is>
          <t>ÖSTERGÖTLANDS LÄN</t>
        </is>
      </c>
      <c r="G218" t="inlineStr">
        <is>
          <t>ÖDESHÖG</t>
        </is>
      </c>
      <c r="I218" t="n">
        <v>5.6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35380-2023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45146</v>
      </c>
      <c r="E219" s="1" t="n">
        <v>46322</v>
      </c>
      <c r="F219" t="inlineStr">
        <is>
          <t>ÖSTERGÖTLANDS LÄN</t>
        </is>
      </c>
      <c r="G219" t="inlineStr">
        <is>
          <t>ÖDESHÖG</t>
        </is>
      </c>
      <c r="I219" t="n">
        <v>0.9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54419-2024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45617</v>
      </c>
      <c r="E220" s="1" t="n">
        <v>46322</v>
      </c>
      <c r="F220" t="inlineStr">
        <is>
          <t>ÖSTERGÖTLANDS LÄN</t>
        </is>
      </c>
      <c r="G220" t="inlineStr">
        <is>
          <t>ÖDESHÖG</t>
        </is>
      </c>
      <c r="H220" t="inlineStr">
        <is>
          <t>Allmännings- och besparingsskogar</t>
        </is>
      </c>
      <c r="I220" t="n">
        <v>22.7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42290-2026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46306</v>
      </c>
      <c r="E221" s="1" t="n">
        <v>46322</v>
      </c>
      <c r="F221" t="inlineStr">
        <is>
          <t>ÖSTERGÖTLANDS LÄN</t>
        </is>
      </c>
      <c r="G221" t="inlineStr">
        <is>
          <t>ÖDESHÖG</t>
        </is>
      </c>
      <c r="I221" t="n">
        <v>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42310-2026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46306</v>
      </c>
      <c r="E222" s="1" t="n">
        <v>46322</v>
      </c>
      <c r="F222" t="inlineStr">
        <is>
          <t>ÖSTERGÖTLANDS LÄN</t>
        </is>
      </c>
      <c r="G222" t="inlineStr">
        <is>
          <t>ÖDESHÖG</t>
        </is>
      </c>
      <c r="I222" t="n">
        <v>1.1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34961-2022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44796</v>
      </c>
      <c r="E223" s="1" t="n">
        <v>46322</v>
      </c>
      <c r="F223" t="inlineStr">
        <is>
          <t>ÖSTERGÖTLANDS LÄN</t>
        </is>
      </c>
      <c r="G223" t="inlineStr">
        <is>
          <t>ÖDESHÖG</t>
        </is>
      </c>
      <c r="I223" t="n">
        <v>1.8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14185-2023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45009</v>
      </c>
      <c r="E224" s="1" t="n">
        <v>46322</v>
      </c>
      <c r="F224" t="inlineStr">
        <is>
          <t>ÖSTERGÖTLANDS LÄN</t>
        </is>
      </c>
      <c r="G224" t="inlineStr">
        <is>
          <t>ÖDESHÖG</t>
        </is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27087-2024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45471</v>
      </c>
      <c r="E225" s="1" t="n">
        <v>46322</v>
      </c>
      <c r="F225" t="inlineStr">
        <is>
          <t>ÖSTERGÖTLANDS LÄN</t>
        </is>
      </c>
      <c r="G225" t="inlineStr">
        <is>
          <t>ÖDESHÖG</t>
        </is>
      </c>
      <c r="I225" t="n">
        <v>2.1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6368-2025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45699</v>
      </c>
      <c r="E226" s="1" t="n">
        <v>46322</v>
      </c>
      <c r="F226" t="inlineStr">
        <is>
          <t>ÖSTERGÖTLANDS LÄN</t>
        </is>
      </c>
      <c r="G226" t="inlineStr">
        <is>
          <t>ÖDESHÖG</t>
        </is>
      </c>
      <c r="I226" t="n">
        <v>1.7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39190-2023</t>
        </is>
      </c>
      <c r="B227" t="inlineStr">
        <is>
          <t>avverkningsanmälan</t>
        </is>
      </c>
      <c r="C227" t="inlineStr">
        <is>
          <t>Avverkning för annat ändamål</t>
        </is>
      </c>
      <c r="D227" s="1" t="n">
        <v>45166</v>
      </c>
      <c r="E227" s="1" t="n">
        <v>46322</v>
      </c>
      <c r="F227" t="inlineStr">
        <is>
          <t>ÖSTERGÖTLANDS LÄN</t>
        </is>
      </c>
      <c r="G227" t="inlineStr">
        <is>
          <t>ÖDESHÖG</t>
        </is>
      </c>
      <c r="I227" t="n">
        <v>0.7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54590-2024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45617</v>
      </c>
      <c r="E228" s="1" t="n">
        <v>46322</v>
      </c>
      <c r="F228" t="inlineStr">
        <is>
          <t>ÖSTERGÖTLANDS LÄN</t>
        </is>
      </c>
      <c r="G228" t="inlineStr">
        <is>
          <t>ÖDESHÖG</t>
        </is>
      </c>
      <c r="I228" t="n">
        <v>1.4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43099-2026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46311</v>
      </c>
      <c r="E229" s="1" t="n">
        <v>46322</v>
      </c>
      <c r="F229" t="inlineStr">
        <is>
          <t>ÖSTERGÖTLANDS LÄN</t>
        </is>
      </c>
      <c r="G229" t="inlineStr">
        <is>
          <t>ÖDESHÖG</t>
        </is>
      </c>
      <c r="I229" t="n">
        <v>1.9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43107-2026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46311</v>
      </c>
      <c r="E230" s="1" t="n">
        <v>46322</v>
      </c>
      <c r="F230" t="inlineStr">
        <is>
          <t>ÖSTERGÖTLANDS LÄN</t>
        </is>
      </c>
      <c r="G230" t="inlineStr">
        <is>
          <t>ÖDESHÖG</t>
        </is>
      </c>
      <c r="I230" t="n">
        <v>0.7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14993-2023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45015</v>
      </c>
      <c r="E231" s="1" t="n">
        <v>46322</v>
      </c>
      <c r="F231" t="inlineStr">
        <is>
          <t>ÖSTERGÖTLANDS LÄN</t>
        </is>
      </c>
      <c r="G231" t="inlineStr">
        <is>
          <t>ÖDESHÖG</t>
        </is>
      </c>
      <c r="I231" t="n">
        <v>1.3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52469-2023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45225</v>
      </c>
      <c r="E232" s="1" t="n">
        <v>46322</v>
      </c>
      <c r="F232" t="inlineStr">
        <is>
          <t>ÖSTERGÖTLANDS LÄN</t>
        </is>
      </c>
      <c r="G232" t="inlineStr">
        <is>
          <t>ÖDESHÖG</t>
        </is>
      </c>
      <c r="I232" t="n">
        <v>1.5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43557-2026</t>
        </is>
      </c>
      <c r="B233" t="inlineStr">
        <is>
          <t>avverkningsanmälan</t>
        </is>
      </c>
      <c r="C233" t="inlineStr">
        <is>
          <t>Avverkning för annat ändamål</t>
        </is>
      </c>
      <c r="D233" s="1" t="n">
        <v>46315</v>
      </c>
      <c r="E233" s="1" t="n">
        <v>46322</v>
      </c>
      <c r="F233" t="inlineStr">
        <is>
          <t>ÖSTERGÖTLANDS LÄN</t>
        </is>
      </c>
      <c r="G233" t="inlineStr">
        <is>
          <t>ÖDESHÖG</t>
        </is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19350-2023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45049</v>
      </c>
      <c r="E234" s="1" t="n">
        <v>46322</v>
      </c>
      <c r="F234" t="inlineStr">
        <is>
          <t>ÖSTERGÖTLANDS LÄN</t>
        </is>
      </c>
      <c r="G234" t="inlineStr">
        <is>
          <t>ÖDESHÖG</t>
        </is>
      </c>
      <c r="I234" t="n">
        <v>1.9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51041-2024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45603</v>
      </c>
      <c r="E235" s="1" t="n">
        <v>46322</v>
      </c>
      <c r="F235" t="inlineStr">
        <is>
          <t>ÖSTERGÖTLANDS LÄN</t>
        </is>
      </c>
      <c r="G235" t="inlineStr">
        <is>
          <t>ÖDESHÖG</t>
        </is>
      </c>
      <c r="I235" t="n">
        <v>0.4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43489-2026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46315</v>
      </c>
      <c r="E236" s="1" t="n">
        <v>46322</v>
      </c>
      <c r="F236" t="inlineStr">
        <is>
          <t>ÖSTERGÖTLANDS LÄN</t>
        </is>
      </c>
      <c r="G236" t="inlineStr">
        <is>
          <t>ÖDESHÖG</t>
        </is>
      </c>
      <c r="H236" t="inlineStr">
        <is>
          <t>Allmännings- och besparingsskogar</t>
        </is>
      </c>
      <c r="I236" t="n">
        <v>7.2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37494-2026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46275</v>
      </c>
      <c r="E237" s="1" t="n">
        <v>46322</v>
      </c>
      <c r="F237" t="inlineStr">
        <is>
          <t>ÖSTERGÖTLANDS LÄN</t>
        </is>
      </c>
      <c r="G237" t="inlineStr">
        <is>
          <t>ÖDESHÖG</t>
        </is>
      </c>
      <c r="I237" t="n">
        <v>1.3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37469-2026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46275</v>
      </c>
      <c r="E238" s="1" t="n">
        <v>46322</v>
      </c>
      <c r="F238" t="inlineStr">
        <is>
          <t>ÖSTERGÖTLANDS LÄN</t>
        </is>
      </c>
      <c r="G238" t="inlineStr">
        <is>
          <t>ÖDESHÖG</t>
        </is>
      </c>
      <c r="I238" t="n">
        <v>3.3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37473-2026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46275</v>
      </c>
      <c r="E239" s="1" t="n">
        <v>46322</v>
      </c>
      <c r="F239" t="inlineStr">
        <is>
          <t>ÖSTERGÖTLANDS LÄN</t>
        </is>
      </c>
      <c r="G239" t="inlineStr">
        <is>
          <t>ÖDESHÖG</t>
        </is>
      </c>
      <c r="I239" t="n">
        <v>3.5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S 899-2024</t>
        </is>
      </c>
      <c r="B240" t="inlineStr">
        <is>
          <t>samrådsanmälan</t>
        </is>
      </c>
      <c r="C240" t="inlineStr">
        <is>
          <t>Askåterföring</t>
        </is>
      </c>
      <c r="D240" s="1" t="n">
        <v>45376</v>
      </c>
      <c r="E240" s="1" t="n">
        <v>46322</v>
      </c>
      <c r="F240" t="inlineStr">
        <is>
          <t>ÖSTERGÖTLANDS LÄN</t>
        </is>
      </c>
      <c r="G240" t="inlineStr">
        <is>
          <t>ÖDESHÖG</t>
        </is>
      </c>
      <c r="I240" t="n">
        <v>18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>
      <c r="A241" t="inlineStr">
        <is>
          <t>S 6457-2022</t>
        </is>
      </c>
      <c r="B241" t="inlineStr">
        <is>
          <t>samrådsanmälan</t>
        </is>
      </c>
      <c r="C241" t="inlineStr">
        <is>
          <t>Askåterföring</t>
        </is>
      </c>
      <c r="D241" s="1" t="n">
        <v>44879</v>
      </c>
      <c r="E241" s="1" t="n">
        <v>46322</v>
      </c>
      <c r="F241" t="inlineStr">
        <is>
          <t>ÖSTERGÖTLANDS LÄN</t>
        </is>
      </c>
      <c r="G241" t="inlineStr">
        <is>
          <t>ÖDESHÖG</t>
        </is>
      </c>
      <c r="H241" t="inlineStr">
        <is>
          <t>Allmännings- och besparingsskogar</t>
        </is>
      </c>
      <c r="I241" t="n">
        <v>101.8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2026-10-27T03:10:39Z</dcterms:created>
  <dcterms:modified xmlns:dcterms="http://purl.org/dc/terms/" xmlns:xsi="http://www.w3.org/2001/XMLSchema-instance" xsi:type="dcterms:W3CDTF">2026-10-27T03:10:39Z</dcterms:modified>
</cp:coreProperties>
</file>