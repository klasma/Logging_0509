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46231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46231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46231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46231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46231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46231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46231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46231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46231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Smalsprötad bastardsvärmare</t>
        </is>
      </c>
      <c r="W13">
        <f>HYPERLINK("https://klasma.github.io/Logging_0509/artfynd/A 32776-2025 artfynd.xlsx", "A 32776-2025")</f>
        <v/>
      </c>
      <c r="X13">
        <f>HYPERLINK("https://klasma.github.io/Logging_0509/kartor/A 32776-2025 karta.png", "A 32776-2025")</f>
        <v/>
      </c>
      <c r="Y13">
        <f>HYPERLINK("https://klasma.github.io/Logging_0509/kartor_geotiff/A 32776-2025 georefererad karta.tif", "A 32776-2025")</f>
        <v/>
      </c>
      <c r="AA13">
        <f>HYPERLINK("https://klasma.github.io/Logging_0509/klagomål/A 32776-2025 FSC-klagomål.docx", "A 32776-2025")</f>
        <v/>
      </c>
      <c r="AB13">
        <f>HYPERLINK("https://klasma.github.io/Logging_0509/klagomålsmail/A 32776-2025 FSC-klagomål mail.docx", "A 32776-2025")</f>
        <v/>
      </c>
      <c r="AC13">
        <f>HYPERLINK("https://klasma.github.io/Logging_0509/tillsyn/A 32776-2025 tillsynsbegäran.docx", "A 32776-2025")</f>
        <v/>
      </c>
      <c r="AD13">
        <f>HYPERLINK("https://klasma.github.io/Logging_0509/tillsynsmail/A 32776-2025 tillsynsbegäran mail.docx", "A 32776-2025")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46231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46231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46231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46231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46231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HYPERLINK("https://klasma.github.io/Logging_0509/artfynd/A 50774-2023 artfynd.xlsx", "A 50774-2023")</f>
        <v/>
      </c>
      <c r="X18">
        <f>HYPERLINK("https://klasma.github.io/Logging_0509/kartor/A 50774-2023 karta.png", "A 50774-2023")</f>
        <v/>
      </c>
      <c r="Y18">
        <f>HYPERLINK("https://klasma.github.io/Logging_0509/kartor_geotiff/A 50774-2023 georefererad karta.tif", "A 50774-2023")</f>
        <v/>
      </c>
      <c r="AA18">
        <f>HYPERLINK("https://klasma.github.io/Logging_0509/klagomål/A 50774-2023 FSC-klagomål.docx", "A 50774-2023")</f>
        <v/>
      </c>
      <c r="AB18">
        <f>HYPERLINK("https://klasma.github.io/Logging_0509/klagomålsmail/A 50774-2023 FSC-klagomål mail.docx", "A 50774-2023")</f>
        <v/>
      </c>
      <c r="AC18">
        <f>HYPERLINK("https://klasma.github.io/Logging_0509/tillsyn/A 50774-2023 tillsynsbegäran.docx", "A 50774-2023")</f>
        <v/>
      </c>
      <c r="AD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46231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46231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Kristinspindling</t>
        </is>
      </c>
      <c r="W20">
        <f>HYPERLINK("https://klasma.github.io/Logging_0509/artfynd/A 32713-2024 artfynd.xlsx", "A 32713-2024")</f>
        <v/>
      </c>
      <c r="X20">
        <f>HYPERLINK("https://klasma.github.io/Logging_0509/kartor/A 32713-2024 karta.png", "A 32713-2024")</f>
        <v/>
      </c>
      <c r="Y20">
        <f>HYPERLINK("https://klasma.github.io/Logging_0509/kartor_geotiff/A 32713-2024 georefererad karta.tif", "A 32713-2024")</f>
        <v/>
      </c>
      <c r="AA20">
        <f>HYPERLINK("https://klasma.github.io/Logging_0509/klagomål/A 32713-2024 FSC-klagomål.docx", "A 32713-2024")</f>
        <v/>
      </c>
      <c r="AB20">
        <f>HYPERLINK("https://klasma.github.io/Logging_0509/klagomålsmail/A 32713-2024 FSC-klagomål mail.docx", "A 32713-2024")</f>
        <v/>
      </c>
      <c r="AC20">
        <f>HYPERLINK("https://klasma.github.io/Logging_0509/tillsyn/A 32713-2024 tillsynsbegäran.docx", "A 32713-2024")</f>
        <v/>
      </c>
      <c r="AD20">
        <f>HYPERLINK("https://klasma.github.io/Logging_0509/tillsynsmail/A 32713-2024 tillsynsbegäran mail.docx", "A 32713-2024")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46231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46231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46231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46231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46231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46231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46231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46231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46231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46231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46231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46231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46231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46231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46231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46231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46231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46231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46231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46231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46231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46231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48325-2022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44858</v>
      </c>
      <c r="E43" s="1" t="n">
        <v>46231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46231</v>
      </c>
      <c r="F44" t="inlineStr">
        <is>
          <t>ÖSTERGÖTLANDS LÄN</t>
        </is>
      </c>
      <c r="G44" t="inlineStr">
        <is>
          <t>ÖDESHÖG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46231</v>
      </c>
      <c r="F45" t="inlineStr">
        <is>
          <t>ÖSTERGÖTLANDS LÄN</t>
        </is>
      </c>
      <c r="G45" t="inlineStr">
        <is>
          <t>ÖDESHÖG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64802-2021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44512</v>
      </c>
      <c r="E46" s="1" t="n">
        <v>46231</v>
      </c>
      <c r="F46" t="inlineStr">
        <is>
          <t>ÖSTERGÖTLANDS LÄN</t>
        </is>
      </c>
      <c r="G46" t="inlineStr">
        <is>
          <t>ÖDESHÖG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46231</v>
      </c>
      <c r="F47" t="inlineStr">
        <is>
          <t>ÖSTERGÖTLANDS LÄN</t>
        </is>
      </c>
      <c r="G47" t="inlineStr">
        <is>
          <t>ÖDESHÖG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45342</v>
      </c>
      <c r="E48" s="1" t="n">
        <v>46231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45532</v>
      </c>
      <c r="E49" s="1" t="n">
        <v>46231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44894</v>
      </c>
      <c r="E50" s="1" t="n">
        <v>46231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44936</v>
      </c>
      <c r="E51" s="1" t="n">
        <v>46231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46231</v>
      </c>
      <c r="F52" t="inlineStr">
        <is>
          <t>ÖSTERGÖTLANDS LÄN</t>
        </is>
      </c>
      <c r="G52" t="inlineStr">
        <is>
          <t>ÖDESHÖG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46029</v>
      </c>
      <c r="E53" s="1" t="n">
        <v>46231</v>
      </c>
      <c r="F53" t="inlineStr">
        <is>
          <t>ÖSTERGÖTLANDS LÄN</t>
        </is>
      </c>
      <c r="G53" t="inlineStr">
        <is>
          <t>ÖDESHÖG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46231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46031</v>
      </c>
      <c r="E55" s="1" t="n">
        <v>46231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46031</v>
      </c>
      <c r="E56" s="1" t="n">
        <v>46231</v>
      </c>
      <c r="F56" t="inlineStr">
        <is>
          <t>ÖSTERGÖTLANDS LÄN</t>
        </is>
      </c>
      <c r="G56" t="inlineStr">
        <is>
          <t>ÖDESHÖG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46231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46031</v>
      </c>
      <c r="E58" s="1" t="n">
        <v>46231</v>
      </c>
      <c r="F58" t="inlineStr">
        <is>
          <t>ÖSTERGÖTLANDS LÄN</t>
        </is>
      </c>
      <c r="G58" t="inlineStr">
        <is>
          <t>ÖDESHÖG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46231</v>
      </c>
      <c r="F59" t="inlineStr">
        <is>
          <t>ÖSTERGÖTLANDS LÄN</t>
        </is>
      </c>
      <c r="G59" t="inlineStr">
        <is>
          <t>ÖDESHÖG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46231</v>
      </c>
      <c r="F60" t="inlineStr">
        <is>
          <t>ÖSTERGÖTLANDS LÄN</t>
        </is>
      </c>
      <c r="G60" t="inlineStr">
        <is>
          <t>ÖDESHÖG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46231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3149-2024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46231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45203</v>
      </c>
      <c r="E63" s="1" t="n">
        <v>46231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45405</v>
      </c>
      <c r="E64" s="1" t="n">
        <v>46231</v>
      </c>
      <c r="F64" t="inlineStr">
        <is>
          <t>ÖSTERGÖTLANDS LÄN</t>
        </is>
      </c>
      <c r="G64" t="inlineStr">
        <is>
          <t>ÖDESHÖG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15915-2024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45405</v>
      </c>
      <c r="E65" s="1" t="n">
        <v>46231</v>
      </c>
      <c r="F65" t="inlineStr">
        <is>
          <t>ÖSTERGÖTLANDS LÄN</t>
        </is>
      </c>
      <c r="G65" t="inlineStr">
        <is>
          <t>ÖDESHÖG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46231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46231</v>
      </c>
      <c r="F67" t="inlineStr">
        <is>
          <t>ÖSTERGÖTLANDS LÄN</t>
        </is>
      </c>
      <c r="G67" t="inlineStr">
        <is>
          <t>ÖDESHÖG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46231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46231</v>
      </c>
      <c r="F69" t="inlineStr">
        <is>
          <t>ÖSTERGÖTLANDS LÄN</t>
        </is>
      </c>
      <c r="G69" t="inlineStr">
        <is>
          <t>ÖDESHÖG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46231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45014</v>
      </c>
      <c r="E71" s="1" t="n">
        <v>46231</v>
      </c>
      <c r="F71" t="inlineStr">
        <is>
          <t>ÖSTERGÖTLANDS LÄN</t>
        </is>
      </c>
      <c r="G71" t="inlineStr">
        <is>
          <t>ÖDESHÖG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45838</v>
      </c>
      <c r="E72" s="1" t="n">
        <v>46231</v>
      </c>
      <c r="F72" t="inlineStr">
        <is>
          <t>ÖSTERGÖTLANDS LÄN</t>
        </is>
      </c>
      <c r="G72" t="inlineStr">
        <is>
          <t>ÖDESHÖG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46231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46231</v>
      </c>
      <c r="F74" t="inlineStr">
        <is>
          <t>ÖSTERGÖTLANDS LÄN</t>
        </is>
      </c>
      <c r="G74" t="inlineStr">
        <is>
          <t>ÖDESHÖG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46062</v>
      </c>
      <c r="E75" s="1" t="n">
        <v>46231</v>
      </c>
      <c r="F75" t="inlineStr">
        <is>
          <t>ÖSTERGÖTLANDS LÄN</t>
        </is>
      </c>
      <c r="G75" t="inlineStr">
        <is>
          <t>ÖDESHÖG</t>
        </is>
      </c>
      <c r="I75" t="n">
        <v>13.4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45582</v>
      </c>
      <c r="E76" s="1" t="n">
        <v>46231</v>
      </c>
      <c r="F76" t="inlineStr">
        <is>
          <t>ÖSTERGÖTLANDS LÄN</t>
        </is>
      </c>
      <c r="G76" t="inlineStr">
        <is>
          <t>ÖDESHÖG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8256-2023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44974</v>
      </c>
      <c r="E77" s="1" t="n">
        <v>46231</v>
      </c>
      <c r="F77" t="inlineStr">
        <is>
          <t>ÖSTERGÖTLANDS LÄN</t>
        </is>
      </c>
      <c r="G77" t="inlineStr">
        <is>
          <t>ÖDESHÖG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45069</v>
      </c>
      <c r="E78" s="1" t="n">
        <v>46231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45533</v>
      </c>
      <c r="E79" s="1" t="n">
        <v>46231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14736-2024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45397</v>
      </c>
      <c r="E80" s="1" t="n">
        <v>46231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46231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46231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46092</v>
      </c>
      <c r="E83" s="1" t="n">
        <v>46231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46092</v>
      </c>
      <c r="E84" s="1" t="n">
        <v>46231</v>
      </c>
      <c r="F84" t="inlineStr">
        <is>
          <t>ÖSTERGÖTLANDS LÄN</t>
        </is>
      </c>
      <c r="G84" t="inlineStr">
        <is>
          <t>ÖDESHÖG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45009</v>
      </c>
      <c r="E85" s="1" t="n">
        <v>46231</v>
      </c>
      <c r="F85" t="inlineStr">
        <is>
          <t>ÖSTERGÖTLANDS LÄN</t>
        </is>
      </c>
      <c r="G85" t="inlineStr">
        <is>
          <t>ÖDESHÖG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45049</v>
      </c>
      <c r="E86" s="1" t="n">
        <v>46231</v>
      </c>
      <c r="F86" t="inlineStr">
        <is>
          <t>ÖSTERGÖTLANDS LÄN</t>
        </is>
      </c>
      <c r="G86" t="inlineStr">
        <is>
          <t>ÖDESHÖG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14617-2026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46101</v>
      </c>
      <c r="E87" s="1" t="n">
        <v>46231</v>
      </c>
      <c r="F87" t="inlineStr">
        <is>
          <t>ÖSTERGÖTLANDS LÄN</t>
        </is>
      </c>
      <c r="G87" t="inlineStr">
        <is>
          <t>ÖDESHÖG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45163</v>
      </c>
      <c r="E88" s="1" t="n">
        <v>46231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44994</v>
      </c>
      <c r="E89" s="1" t="n">
        <v>46231</v>
      </c>
      <c r="F89" t="inlineStr">
        <is>
          <t>ÖSTERGÖTLANDS LÄN</t>
        </is>
      </c>
      <c r="G89" t="inlineStr">
        <is>
          <t>ÖDESHÖG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46231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46231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46231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46231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46231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46231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22.7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46231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45015</v>
      </c>
      <c r="E97" s="1" t="n">
        <v>46231</v>
      </c>
      <c r="F97" t="inlineStr">
        <is>
          <t>ÖSTERGÖTLANDS LÄN</t>
        </is>
      </c>
      <c r="G97" t="inlineStr">
        <is>
          <t>ÖDESHÖG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46231</v>
      </c>
      <c r="F98" t="inlineStr">
        <is>
          <t>ÖSTERGÖTLANDS LÄN</t>
        </is>
      </c>
      <c r="G98" t="inlineStr">
        <is>
          <t>ÖDESHÖG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46109</v>
      </c>
      <c r="E99" s="1" t="n">
        <v>46231</v>
      </c>
      <c r="F99" t="inlineStr">
        <is>
          <t>ÖSTERGÖTLANDS LÄN</t>
        </is>
      </c>
      <c r="G99" t="inlineStr">
        <is>
          <t>ÖDESHÖG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46231</v>
      </c>
      <c r="F100" t="inlineStr">
        <is>
          <t>ÖSTERGÖTLANDS LÄN</t>
        </is>
      </c>
      <c r="G100" t="inlineStr">
        <is>
          <t>ÖDESHÖG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46231</v>
      </c>
      <c r="F101" t="inlineStr">
        <is>
          <t>ÖSTERGÖTLANDS LÄN</t>
        </is>
      </c>
      <c r="G101" t="inlineStr">
        <is>
          <t>ÖDESHÖG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46231</v>
      </c>
      <c r="F102" t="inlineStr">
        <is>
          <t>ÖSTERGÖTLANDS LÄN</t>
        </is>
      </c>
      <c r="G102" t="inlineStr">
        <is>
          <t>ÖDESHÖG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46231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44613</v>
      </c>
      <c r="E104" s="1" t="n">
        <v>46231</v>
      </c>
      <c r="F104" t="inlineStr">
        <is>
          <t>ÖSTERGÖTLANDS LÄN</t>
        </is>
      </c>
      <c r="G104" t="inlineStr">
        <is>
          <t>ÖDESHÖG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46231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45163</v>
      </c>
      <c r="E106" s="1" t="n">
        <v>46231</v>
      </c>
      <c r="F106" t="inlineStr">
        <is>
          <t>ÖSTERGÖTLANDS LÄN</t>
        </is>
      </c>
      <c r="G106" t="inlineStr">
        <is>
          <t>ÖDESHÖG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46231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45750</v>
      </c>
      <c r="E108" s="1" t="n">
        <v>46231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46231</v>
      </c>
      <c r="F109" t="inlineStr">
        <is>
          <t>ÖSTERGÖTLANDS LÄN</t>
        </is>
      </c>
      <c r="G109" t="inlineStr">
        <is>
          <t>ÖDESHÖG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46231</v>
      </c>
      <c r="F110" t="inlineStr">
        <is>
          <t>ÖSTERGÖTLANDS LÄN</t>
        </is>
      </c>
      <c r="G110" t="inlineStr">
        <is>
          <t>ÖDESHÖG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45027</v>
      </c>
      <c r="E111" s="1" t="n">
        <v>46231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46063-2025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45924</v>
      </c>
      <c r="E112" s="1" t="n">
        <v>46231</v>
      </c>
      <c r="F112" t="inlineStr">
        <is>
          <t>ÖSTERGÖTLANDS LÄN</t>
        </is>
      </c>
      <c r="G112" t="inlineStr">
        <is>
          <t>ÖDESHÖG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45924</v>
      </c>
      <c r="E113" s="1" t="n">
        <v>46231</v>
      </c>
      <c r="F113" t="inlineStr">
        <is>
          <t>ÖSTERGÖTLANDS LÄN</t>
        </is>
      </c>
      <c r="G113" t="inlineStr">
        <is>
          <t>ÖDESHÖG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46231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8.699999999999999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45113</v>
      </c>
      <c r="E115" s="1" t="n">
        <v>46231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46024</v>
      </c>
      <c r="E116" s="1" t="n">
        <v>46231</v>
      </c>
      <c r="F116" t="inlineStr">
        <is>
          <t>ÖSTERGÖTLANDS LÄN</t>
        </is>
      </c>
      <c r="G116" t="inlineStr">
        <is>
          <t>ÖDESHÖG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46231</v>
      </c>
      <c r="F117" t="inlineStr">
        <is>
          <t>ÖSTERGÖTLANDS LÄN</t>
        </is>
      </c>
      <c r="G117" t="inlineStr">
        <is>
          <t>ÖDESHÖG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46231</v>
      </c>
      <c r="F118" t="inlineStr">
        <is>
          <t>ÖSTERGÖTLANDS LÄN</t>
        </is>
      </c>
      <c r="G118" t="inlineStr">
        <is>
          <t>ÖDESHÖG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46231</v>
      </c>
      <c r="F119" t="inlineStr">
        <is>
          <t>ÖSTERGÖTLANDS LÄN</t>
        </is>
      </c>
      <c r="G119" t="inlineStr">
        <is>
          <t>ÖDESHÖG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21770-2023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45065</v>
      </c>
      <c r="E120" s="1" t="n">
        <v>46231</v>
      </c>
      <c r="F120" t="inlineStr">
        <is>
          <t>ÖSTERGÖTLANDS LÄN</t>
        </is>
      </c>
      <c r="G120" t="inlineStr">
        <is>
          <t>ÖDESHÖG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45049</v>
      </c>
      <c r="E121" s="1" t="n">
        <v>46231</v>
      </c>
      <c r="F121" t="inlineStr">
        <is>
          <t>ÖSTERGÖTLANDS LÄN</t>
        </is>
      </c>
      <c r="G121" t="inlineStr">
        <is>
          <t>ÖDESHÖG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46231</v>
      </c>
      <c r="F122" t="inlineStr">
        <is>
          <t>ÖSTERGÖTLANDS LÄN</t>
        </is>
      </c>
      <c r="G122" t="inlineStr">
        <is>
          <t>ÖDESHÖG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46231</v>
      </c>
      <c r="F123" t="inlineStr">
        <is>
          <t>ÖSTERGÖTLANDS LÄN</t>
        </is>
      </c>
      <c r="G123" t="inlineStr">
        <is>
          <t>ÖDESHÖG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46231</v>
      </c>
      <c r="F124" t="inlineStr">
        <is>
          <t>ÖSTERGÖTLANDS LÄN</t>
        </is>
      </c>
      <c r="G124" t="inlineStr">
        <is>
          <t>ÖDESHÖG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46231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46231</v>
      </c>
      <c r="F126" t="inlineStr">
        <is>
          <t>ÖSTERGÖTLANDS LÄN</t>
        </is>
      </c>
      <c r="G126" t="inlineStr">
        <is>
          <t>ÖDESHÖG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45065</v>
      </c>
      <c r="E127" s="1" t="n">
        <v>46231</v>
      </c>
      <c r="F127" t="inlineStr">
        <is>
          <t>ÖSTERGÖTLANDS LÄN</t>
        </is>
      </c>
      <c r="G127" t="inlineStr">
        <is>
          <t>ÖDESHÖG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46231</v>
      </c>
      <c r="F128" t="inlineStr">
        <is>
          <t>ÖSTERGÖTLANDS LÄN</t>
        </is>
      </c>
      <c r="G128" t="inlineStr">
        <is>
          <t>ÖDESHÖG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46231</v>
      </c>
      <c r="F129" t="inlineStr">
        <is>
          <t>ÖSTERGÖTLANDS LÄN</t>
        </is>
      </c>
      <c r="G129" t="inlineStr">
        <is>
          <t>ÖDESHÖG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46231</v>
      </c>
      <c r="F130" t="inlineStr">
        <is>
          <t>ÖSTERGÖTLANDS LÄN</t>
        </is>
      </c>
      <c r="G130" t="inlineStr">
        <is>
          <t>ÖDESHÖG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46231</v>
      </c>
      <c r="F131" t="inlineStr">
        <is>
          <t>ÖSTERGÖTLANDS LÄN</t>
        </is>
      </c>
      <c r="G131" t="inlineStr">
        <is>
          <t>ÖDESHÖG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46231</v>
      </c>
      <c r="F132" t="inlineStr">
        <is>
          <t>ÖSTERGÖTLANDS LÄN</t>
        </is>
      </c>
      <c r="G132" t="inlineStr">
        <is>
          <t>ÖDESHÖG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46231</v>
      </c>
      <c r="F133" t="inlineStr">
        <is>
          <t>ÖSTERGÖTLANDS LÄN</t>
        </is>
      </c>
      <c r="G133" t="inlineStr">
        <is>
          <t>ÖDESHÖG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45335</v>
      </c>
      <c r="E134" s="1" t="n">
        <v>46231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46231</v>
      </c>
      <c r="F135" t="inlineStr">
        <is>
          <t>ÖSTERGÖTLANDS LÄN</t>
        </is>
      </c>
      <c r="G135" t="inlineStr">
        <is>
          <t>ÖDESHÖG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46198</v>
      </c>
      <c r="E136" s="1" t="n">
        <v>46231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46231</v>
      </c>
      <c r="F137" t="inlineStr">
        <is>
          <t>ÖSTERGÖTLANDS LÄN</t>
        </is>
      </c>
      <c r="G137" t="inlineStr">
        <is>
          <t>ÖDESHÖG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46231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45944</v>
      </c>
      <c r="E139" s="1" t="n">
        <v>46231</v>
      </c>
      <c r="F139" t="inlineStr">
        <is>
          <t>ÖSTERGÖTLANDS LÄN</t>
        </is>
      </c>
      <c r="G139" t="inlineStr">
        <is>
          <t>ÖDESHÖG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46231</v>
      </c>
      <c r="F140" t="inlineStr">
        <is>
          <t>ÖSTERGÖTLANDS LÄN</t>
        </is>
      </c>
      <c r="G140" t="inlineStr">
        <is>
          <t>ÖDESHÖG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46199</v>
      </c>
      <c r="E141" s="1" t="n">
        <v>46231</v>
      </c>
      <c r="F141" t="inlineStr">
        <is>
          <t>ÖSTERGÖTLANDS LÄN</t>
        </is>
      </c>
      <c r="G141" t="inlineStr">
        <is>
          <t>ÖDESHÖG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45471</v>
      </c>
      <c r="E142" s="1" t="n">
        <v>46231</v>
      </c>
      <c r="F142" t="inlineStr">
        <is>
          <t>ÖSTERGÖTLANDS LÄN</t>
        </is>
      </c>
      <c r="G142" t="inlineStr">
        <is>
          <t>ÖDESHÖG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46231</v>
      </c>
      <c r="F143" t="inlineStr">
        <is>
          <t>ÖSTERGÖTLANDS LÄN</t>
        </is>
      </c>
      <c r="G143" t="inlineStr">
        <is>
          <t>ÖDESHÖG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46231</v>
      </c>
      <c r="F144" t="inlineStr">
        <is>
          <t>ÖSTERGÖTLANDS LÄN</t>
        </is>
      </c>
      <c r="G144" t="inlineStr">
        <is>
          <t>ÖDESHÖG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46231</v>
      </c>
      <c r="F145" t="inlineStr">
        <is>
          <t>ÖSTERGÖTLANDS LÄN</t>
        </is>
      </c>
      <c r="G145" t="inlineStr">
        <is>
          <t>ÖDESHÖG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46231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46231</v>
      </c>
      <c r="F147" t="inlineStr">
        <is>
          <t>ÖSTERGÖTLANDS LÄN</t>
        </is>
      </c>
      <c r="G147" t="inlineStr">
        <is>
          <t>ÖDESHÖG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46231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46231</v>
      </c>
      <c r="F149" t="inlineStr">
        <is>
          <t>ÖSTERGÖTLANDS LÄN</t>
        </is>
      </c>
      <c r="G149" t="inlineStr">
        <is>
          <t>ÖDESHÖG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61011-2024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45645</v>
      </c>
      <c r="E150" s="1" t="n">
        <v>46231</v>
      </c>
      <c r="F150" t="inlineStr">
        <is>
          <t>ÖSTERGÖTLANDS LÄN</t>
        </is>
      </c>
      <c r="G150" t="inlineStr">
        <is>
          <t>ÖDESHÖG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15909-2024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45405</v>
      </c>
      <c r="E151" s="1" t="n">
        <v>46231</v>
      </c>
      <c r="F151" t="inlineStr">
        <is>
          <t>ÖSTERGÖTLANDS LÄN</t>
        </is>
      </c>
      <c r="G151" t="inlineStr">
        <is>
          <t>ÖDESHÖG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46231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46231</v>
      </c>
      <c r="F153" t="inlineStr">
        <is>
          <t>ÖSTERGÖTLANDS LÄN</t>
        </is>
      </c>
      <c r="G153" t="inlineStr">
        <is>
          <t>ÖDESHÖG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46231</v>
      </c>
      <c r="F154" t="inlineStr">
        <is>
          <t>ÖSTERGÖTLANDS LÄN</t>
        </is>
      </c>
      <c r="G154" t="inlineStr">
        <is>
          <t>ÖDESHÖG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46231</v>
      </c>
      <c r="F155" t="inlineStr">
        <is>
          <t>ÖSTERGÖTLANDS LÄN</t>
        </is>
      </c>
      <c r="G155" t="inlineStr">
        <is>
          <t>ÖDESHÖG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46231</v>
      </c>
      <c r="F156" t="inlineStr">
        <is>
          <t>ÖSTERGÖTLANDS LÄN</t>
        </is>
      </c>
      <c r="G156" t="inlineStr">
        <is>
          <t>ÖDESHÖG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46206</v>
      </c>
      <c r="E157" s="1" t="n">
        <v>46231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Sveaskog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45603</v>
      </c>
      <c r="E158" s="1" t="n">
        <v>46231</v>
      </c>
      <c r="F158" t="inlineStr">
        <is>
          <t>ÖSTERGÖTLANDS LÄN</t>
        </is>
      </c>
      <c r="G158" t="inlineStr">
        <is>
          <t>ÖDESHÖG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39190-2023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45166</v>
      </c>
      <c r="E159" s="1" t="n">
        <v>46231</v>
      </c>
      <c r="F159" t="inlineStr">
        <is>
          <t>ÖSTERGÖTLANDS LÄN</t>
        </is>
      </c>
      <c r="G159" t="inlineStr">
        <is>
          <t>ÖDESHÖG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45027</v>
      </c>
      <c r="E160" s="1" t="n">
        <v>46231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46231</v>
      </c>
      <c r="F161" t="inlineStr">
        <is>
          <t>ÖSTERGÖTLANDS LÄN</t>
        </is>
      </c>
      <c r="G161" t="inlineStr">
        <is>
          <t>ÖDESHÖG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46231</v>
      </c>
      <c r="F162" t="inlineStr">
        <is>
          <t>ÖSTERGÖTLANDS LÄN</t>
        </is>
      </c>
      <c r="G162" t="inlineStr">
        <is>
          <t>ÖDESHÖG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45603</v>
      </c>
      <c r="E163" s="1" t="n">
        <v>46231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46220</v>
      </c>
      <c r="E164" s="1" t="n">
        <v>46231</v>
      </c>
      <c r="F164" t="inlineStr">
        <is>
          <t>ÖSTERGÖTLANDS LÄN</t>
        </is>
      </c>
      <c r="G164" t="inlineStr">
        <is>
          <t>ÖDESHÖG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46231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46231</v>
      </c>
      <c r="F166" t="inlineStr">
        <is>
          <t>ÖSTERGÖTLANDS LÄN</t>
        </is>
      </c>
      <c r="G166" t="inlineStr">
        <is>
          <t>ÖDESHÖG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46231</v>
      </c>
      <c r="F167" t="inlineStr">
        <is>
          <t>ÖSTERGÖTLANDS LÄN</t>
        </is>
      </c>
      <c r="G167" t="inlineStr">
        <is>
          <t>ÖDESHÖG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46231</v>
      </c>
      <c r="F168" t="inlineStr">
        <is>
          <t>ÖSTERGÖTLANDS LÄN</t>
        </is>
      </c>
      <c r="G168" t="inlineStr">
        <is>
          <t>ÖDESHÖG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46231</v>
      </c>
      <c r="F169" t="inlineStr">
        <is>
          <t>ÖSTERGÖTLANDS LÄN</t>
        </is>
      </c>
      <c r="G169" t="inlineStr">
        <is>
          <t>ÖDESHÖG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46231</v>
      </c>
      <c r="F170" t="inlineStr">
        <is>
          <t>ÖSTERGÖTLANDS LÄN</t>
        </is>
      </c>
      <c r="G170" t="inlineStr">
        <is>
          <t>ÖDESHÖG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46231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46231</v>
      </c>
      <c r="F172" t="inlineStr">
        <is>
          <t>ÖSTERGÖTLANDS LÄN</t>
        </is>
      </c>
      <c r="G172" t="inlineStr">
        <is>
          <t>ÖDESHÖG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46231</v>
      </c>
      <c r="F173" t="inlineStr">
        <is>
          <t>ÖSTERGÖTLANDS LÄN</t>
        </is>
      </c>
      <c r="G173" t="inlineStr">
        <is>
          <t>ÖDESHÖG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46231</v>
      </c>
      <c r="F174" t="inlineStr">
        <is>
          <t>ÖSTERGÖTLANDS LÄN</t>
        </is>
      </c>
      <c r="G174" t="inlineStr">
        <is>
          <t>ÖDESHÖG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43263-2023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45183</v>
      </c>
      <c r="E175" s="1" t="n">
        <v>46231</v>
      </c>
      <c r="F175" t="inlineStr">
        <is>
          <t>ÖSTERGÖTLANDS LÄN</t>
        </is>
      </c>
      <c r="G175" t="inlineStr">
        <is>
          <t>ÖDESHÖG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46231</v>
      </c>
      <c r="F176" t="inlineStr">
        <is>
          <t>ÖSTERGÖTLANDS LÄN</t>
        </is>
      </c>
      <c r="G176" t="inlineStr">
        <is>
          <t>ÖDESHÖG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46231</v>
      </c>
      <c r="F177" t="inlineStr">
        <is>
          <t>ÖSTERGÖTLANDS LÄN</t>
        </is>
      </c>
      <c r="G177" t="inlineStr">
        <is>
          <t>ÖDESHÖG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46231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46231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46231</v>
      </c>
      <c r="F180" t="inlineStr">
        <is>
          <t>ÖSTERGÖTLANDS LÄN</t>
        </is>
      </c>
      <c r="G180" t="inlineStr">
        <is>
          <t>ÖDESHÖG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46231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46231</v>
      </c>
      <c r="F182" t="inlineStr">
        <is>
          <t>ÖSTERGÖTLANDS LÄN</t>
        </is>
      </c>
      <c r="G182" t="inlineStr">
        <is>
          <t>ÖDESHÖG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46231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46231</v>
      </c>
      <c r="F184" t="inlineStr">
        <is>
          <t>ÖSTERGÖTLANDS LÄN</t>
        </is>
      </c>
      <c r="G184" t="inlineStr">
        <is>
          <t>ÖDESHÖG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46231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46231</v>
      </c>
      <c r="F186" t="inlineStr">
        <is>
          <t>ÖSTERGÖTLANDS LÄN</t>
        </is>
      </c>
      <c r="G186" t="inlineStr">
        <is>
          <t>ÖDESHÖG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46231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46231</v>
      </c>
      <c r="F188" t="inlineStr">
        <is>
          <t>ÖSTERGÖTLANDS LÄN</t>
        </is>
      </c>
      <c r="G188" t="inlineStr">
        <is>
          <t>ÖDESHÖG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44796</v>
      </c>
      <c r="E189" s="1" t="n">
        <v>46231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46231</v>
      </c>
      <c r="F190" t="inlineStr">
        <is>
          <t>ÖSTERGÖTLANDS LÄN</t>
        </is>
      </c>
      <c r="G190" t="inlineStr">
        <is>
          <t>ÖDESHÖG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46231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46002</v>
      </c>
      <c r="E192" s="1" t="n">
        <v>46231</v>
      </c>
      <c r="F192" t="inlineStr">
        <is>
          <t>ÖSTERGÖTLANDS LÄN</t>
        </is>
      </c>
      <c r="G192" t="inlineStr">
        <is>
          <t>ÖDESHÖG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46002</v>
      </c>
      <c r="E193" s="1" t="n">
        <v>46231</v>
      </c>
      <c r="F193" t="inlineStr">
        <is>
          <t>ÖSTERGÖTLANDS LÄN</t>
        </is>
      </c>
      <c r="G193" t="inlineStr">
        <is>
          <t>ÖDESHÖG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46002</v>
      </c>
      <c r="E194" s="1" t="n">
        <v>46231</v>
      </c>
      <c r="F194" t="inlineStr">
        <is>
          <t>ÖSTERGÖTLANDS LÄN</t>
        </is>
      </c>
      <c r="G194" t="inlineStr">
        <is>
          <t>ÖDESHÖG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46231</v>
      </c>
      <c r="F195" t="inlineStr">
        <is>
          <t>ÖSTERGÖTLANDS LÄN</t>
        </is>
      </c>
      <c r="G195" t="inlineStr">
        <is>
          <t>ÖDESHÖG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46231</v>
      </c>
      <c r="F196" t="inlineStr">
        <is>
          <t>ÖSTERGÖTLANDS LÄN</t>
        </is>
      </c>
      <c r="G196" t="inlineStr">
        <is>
          <t>ÖDESHÖG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19157-2023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45048</v>
      </c>
      <c r="E197" s="1" t="n">
        <v>46231</v>
      </c>
      <c r="F197" t="inlineStr">
        <is>
          <t>ÖSTERGÖTLANDS LÄN</t>
        </is>
      </c>
      <c r="G197" t="inlineStr">
        <is>
          <t>ÖDESHÖG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46231</v>
      </c>
      <c r="F198" t="inlineStr">
        <is>
          <t>ÖSTERGÖTLANDS LÄN</t>
        </is>
      </c>
      <c r="G198" t="inlineStr">
        <is>
          <t>ÖDESHÖG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46231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46231</v>
      </c>
      <c r="F200" t="inlineStr">
        <is>
          <t>ÖSTERGÖTLANDS LÄN</t>
        </is>
      </c>
      <c r="G200" t="inlineStr">
        <is>
          <t>ÖDESHÖG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46231</v>
      </c>
      <c r="F201" t="inlineStr">
        <is>
          <t>ÖSTERGÖTLANDS LÄN</t>
        </is>
      </c>
      <c r="G201" t="inlineStr">
        <is>
          <t>ÖDESHÖG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46231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46231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64010-2025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46231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15.4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45412</v>
      </c>
      <c r="E205" s="1" t="n">
        <v>46231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11193-2023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44992</v>
      </c>
      <c r="E206" s="1" t="n">
        <v>46231</v>
      </c>
      <c r="F206" t="inlineStr">
        <is>
          <t>ÖSTERGÖTLANDS LÄN</t>
        </is>
      </c>
      <c r="G206" t="inlineStr">
        <is>
          <t>ÖDESHÖG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46231</v>
      </c>
      <c r="F207" t="inlineStr">
        <is>
          <t>ÖSTERGÖTLANDS LÄN</t>
        </is>
      </c>
      <c r="G207" t="inlineStr">
        <is>
          <t>ÖDESHÖG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46231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46231</v>
      </c>
      <c r="F209" t="inlineStr">
        <is>
          <t>ÖSTERGÖTLANDS LÄN</t>
        </is>
      </c>
      <c r="G209" t="inlineStr">
        <is>
          <t>ÖDESHÖG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46231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44658</v>
      </c>
      <c r="E211" s="1" t="n">
        <v>46231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46231</v>
      </c>
      <c r="F212" t="inlineStr">
        <is>
          <t>ÖSTERGÖTLANDS LÄN</t>
        </is>
      </c>
      <c r="G212" t="inlineStr">
        <is>
          <t>ÖDESHÖG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44709</v>
      </c>
      <c r="E213" s="1" t="n">
        <v>46231</v>
      </c>
      <c r="F213" t="inlineStr">
        <is>
          <t>ÖSTERGÖTLANDS LÄN</t>
        </is>
      </c>
      <c r="G213" t="inlineStr">
        <is>
          <t>ÖDESHÖG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72603-2021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44546</v>
      </c>
      <c r="E214" s="1" t="n">
        <v>46231</v>
      </c>
      <c r="F214" t="inlineStr">
        <is>
          <t>ÖSTERGÖTLANDS LÄN</t>
        </is>
      </c>
      <c r="G214" t="inlineStr">
        <is>
          <t>ÖDESHÖG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46231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46231</v>
      </c>
      <c r="F216" t="inlineStr">
        <is>
          <t>ÖSTERGÖTLANDS LÄN</t>
        </is>
      </c>
      <c r="G216" t="inlineStr">
        <is>
          <t>ÖDESHÖG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46231</v>
      </c>
      <c r="F217" t="inlineStr">
        <is>
          <t>ÖSTERGÖTLANDS LÄN</t>
        </is>
      </c>
      <c r="G217" t="inlineStr">
        <is>
          <t>ÖDESHÖG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46231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45146</v>
      </c>
      <c r="E219" s="1" t="n">
        <v>46231</v>
      </c>
      <c r="F219" t="inlineStr">
        <is>
          <t>ÖSTERGÖTLANDS LÄN</t>
        </is>
      </c>
      <c r="G219" t="inlineStr">
        <is>
          <t>ÖDESHÖG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46231</v>
      </c>
      <c r="F220" t="inlineStr">
        <is>
          <t>ÖSTERGÖTLANDS LÄN</t>
        </is>
      </c>
      <c r="G220" t="inlineStr">
        <is>
          <t>ÖDESHÖG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46231</v>
      </c>
      <c r="F221" t="inlineStr">
        <is>
          <t>ÖSTERGÖTLANDS LÄN</t>
        </is>
      </c>
      <c r="G221" t="inlineStr">
        <is>
          <t>ÖDESHÖG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46231</v>
      </c>
      <c r="F222" t="inlineStr">
        <is>
          <t>ÖSTERGÖTLANDS LÄN</t>
        </is>
      </c>
      <c r="G222" t="inlineStr">
        <is>
          <t>ÖDESHÖG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45373</v>
      </c>
      <c r="E223" s="1" t="n">
        <v>46231</v>
      </c>
      <c r="F223" t="inlineStr">
        <is>
          <t>ÖSTERGÖTLANDS LÄN</t>
        </is>
      </c>
      <c r="G223" t="inlineStr">
        <is>
          <t>ÖDESHÖG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46231</v>
      </c>
      <c r="F224" t="inlineStr">
        <is>
          <t>ÖSTERGÖTLANDS LÄN</t>
        </is>
      </c>
      <c r="G224" t="inlineStr">
        <is>
          <t>ÖDESHÖG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44623</v>
      </c>
      <c r="E225" s="1" t="n">
        <v>46231</v>
      </c>
      <c r="F225" t="inlineStr">
        <is>
          <t>ÖSTERGÖTLANDS LÄN</t>
        </is>
      </c>
      <c r="G225" t="inlineStr">
        <is>
          <t>ÖDESHÖG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45519</v>
      </c>
      <c r="E226" s="1" t="n">
        <v>46231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46231</v>
      </c>
      <c r="F227" t="inlineStr">
        <is>
          <t>ÖSTERGÖTLANDS LÄN</t>
        </is>
      </c>
      <c r="G227" t="inlineStr">
        <is>
          <t>ÖDESHÖG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15813-2022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44664</v>
      </c>
      <c r="E228" s="1" t="n">
        <v>46231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46231</v>
      </c>
      <c r="F229" t="inlineStr">
        <is>
          <t>ÖSTERGÖTLANDS LÄN</t>
        </is>
      </c>
      <c r="G229" t="inlineStr">
        <is>
          <t>ÖDESHÖG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46231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46231</v>
      </c>
      <c r="F231" t="inlineStr">
        <is>
          <t>ÖSTERGÖTLANDS LÄN</t>
        </is>
      </c>
      <c r="G231" t="inlineStr">
        <is>
          <t>ÖDESHÖG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46231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46231</v>
      </c>
      <c r="F233" t="inlineStr">
        <is>
          <t>ÖSTERGÖTLANDS LÄN</t>
        </is>
      </c>
      <c r="G233" t="inlineStr">
        <is>
          <t>ÖDESHÖG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46231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46231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46231</v>
      </c>
      <c r="F236" t="inlineStr">
        <is>
          <t>ÖSTERGÖTLANDS LÄN</t>
        </is>
      </c>
      <c r="G236" t="inlineStr">
        <is>
          <t>ÖDESHÖG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46231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46231</v>
      </c>
      <c r="F238" t="inlineStr">
        <is>
          <t>ÖSTERGÖTLANDS LÄN</t>
        </is>
      </c>
      <c r="G238" t="inlineStr">
        <is>
          <t>ÖDESHÖG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46231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46231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46231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46231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46231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46231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46231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2026-07-28T01:48:04Z</dcterms:created>
  <dcterms:modified xmlns:dcterms="http://purl.org/dc/terms/" xmlns:xsi="http://www.w3.org/2001/XMLSchema-instance" xsi:type="dcterms:W3CDTF">2026-07-28T01:48:05Z</dcterms:modified>
</cp:coreProperties>
</file>