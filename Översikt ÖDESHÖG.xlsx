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45717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45717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45717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45717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45717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45717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45717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45717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45717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45717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45717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45717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45717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45717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4399-2025</t>
        </is>
      </c>
      <c r="B16" s="1" t="n">
        <v>45686</v>
      </c>
      <c r="C16" s="1" t="n">
        <v>45717</v>
      </c>
      <c r="D16" t="inlineStr">
        <is>
          <t>ÖSTERGÖTLANDS LÄN</t>
        </is>
      </c>
      <c r="E16" t="inlineStr">
        <is>
          <t>ÖDESHÖG</t>
        </is>
      </c>
      <c r="G16" t="n">
        <v>6.6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Scharlakansvaxskivling</t>
        </is>
      </c>
      <c r="S16">
        <f>HYPERLINK("https://klasma.github.io/Logging_0509/artfynd/A 4399-2025 artfynd.xlsx", "A 4399-2025")</f>
        <v/>
      </c>
      <c r="T16">
        <f>HYPERLINK("https://klasma.github.io/Logging_0509/kartor/A 4399-2025 karta.png", "A 4399-2025")</f>
        <v/>
      </c>
      <c r="V16">
        <f>HYPERLINK("https://klasma.github.io/Logging_0509/klagomål/A 4399-2025 FSC-klagomål.docx", "A 4399-2025")</f>
        <v/>
      </c>
      <c r="W16">
        <f>HYPERLINK("https://klasma.github.io/Logging_0509/klagomålsmail/A 4399-2025 FSC-klagomål mail.docx", "A 4399-2025")</f>
        <v/>
      </c>
      <c r="X16">
        <f>HYPERLINK("https://klasma.github.io/Logging_0509/tillsyn/A 4399-2025 tillsynsbegäran.docx", "A 4399-2025")</f>
        <v/>
      </c>
      <c r="Y16">
        <f>HYPERLINK("https://klasma.github.io/Logging_0509/tillsynsmail/A 4399-2025 tillsynsbegäran mail.docx", "A 4399-2025")</f>
        <v/>
      </c>
    </row>
    <row r="17" ht="15" customHeight="1">
      <c r="A17" t="inlineStr">
        <is>
          <t>A 4497-2025</t>
        </is>
      </c>
      <c r="B17" s="1" t="n">
        <v>45686</v>
      </c>
      <c r="C17" s="1" t="n">
        <v>45717</v>
      </c>
      <c r="D17" t="inlineStr">
        <is>
          <t>ÖSTERGÖTLANDS LÄN</t>
        </is>
      </c>
      <c r="E17" t="inlineStr">
        <is>
          <t>ÖDESHÖG</t>
        </is>
      </c>
      <c r="F17" t="inlineStr">
        <is>
          <t>Kyrkan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HYPERLINK("https://klasma.github.io/Logging_0509/artfynd/A 4497-2025 artfynd.xlsx", "A 4497-2025")</f>
        <v/>
      </c>
      <c r="T17">
        <f>HYPERLINK("https://klasma.github.io/Logging_0509/kartor/A 4497-2025 karta.png", "A 4497-2025")</f>
        <v/>
      </c>
      <c r="V17">
        <f>HYPERLINK("https://klasma.github.io/Logging_0509/klagomål/A 4497-2025 FSC-klagomål.docx", "A 4497-2025")</f>
        <v/>
      </c>
      <c r="W17">
        <f>HYPERLINK("https://klasma.github.io/Logging_0509/klagomålsmail/A 4497-2025 FSC-klagomål mail.docx", "A 4497-2025")</f>
        <v/>
      </c>
      <c r="X17">
        <f>HYPERLINK("https://klasma.github.io/Logging_0509/tillsyn/A 4497-2025 tillsynsbegäran.docx", "A 4497-2025")</f>
        <v/>
      </c>
      <c r="Y17">
        <f>HYPERLINK("https://klasma.github.io/Logging_0509/tillsynsmail/A 4497-2025 tillsynsbegäran mail.docx", "A 4497-2025")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45717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45717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45717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45717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45717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45717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45717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45717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45717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45717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45717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45717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45717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45717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45717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45717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45717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45717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45717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45717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45717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45717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45717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45717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45717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45717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45717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45717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45717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45717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45717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45717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45717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45717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45717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45717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45717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45717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45717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45717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45717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45717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45717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45717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45717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45717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45717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45717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45717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45717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45717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45717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45717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45717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45717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45717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45717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45717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45717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45717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45717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45717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45717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45717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45717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45717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45717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45717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45717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45717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45717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45717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45717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45717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45717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45717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45717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45717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45717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45717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45717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45717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45717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45717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45717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45717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45717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45717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45717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45717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45717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45717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45717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45717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45717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45717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45717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45717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45717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45717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45717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45717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45717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45717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45717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45717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45717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45717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45717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45717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45717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45717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45717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45717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45717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45717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45717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45717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45717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45717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45717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45717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45717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45717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45717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45717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45717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45717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45717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45717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45717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45717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45717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45717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45717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45717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45717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45717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45717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45717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45717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45717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45717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45717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45717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45717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45717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45717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45717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45717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45717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45717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45717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45717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45717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45717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45717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45717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45717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45717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45717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45717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45717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45717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45717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45717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45717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45717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45717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45717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45717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45717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45717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45717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45717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45717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45717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45717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45717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45717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45717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45717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45717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45717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45717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45717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45717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45717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45717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45717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45717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45717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45717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45717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45717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45717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45717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45717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45717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45717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45717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45717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45717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45717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45717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45717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45717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45717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45717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45717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45717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45717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45717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45717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45717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45717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45717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45717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45717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45717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45717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45717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45717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45717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45717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45717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45717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45717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45717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45717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45717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45717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45717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45717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45717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45717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45717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45717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45717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45717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45717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45717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45717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45717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45717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45717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45717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45717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45717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45717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45717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45717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45717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45717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45717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45717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45717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45717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45717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45717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45717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45717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45717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45717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45717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45717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45717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45717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45717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45717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45717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45717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45717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45717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45717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45717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45717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45717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45717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45717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45717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45717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45717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45717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45717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45717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45717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45717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45717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45717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45717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45717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45717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45717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45717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45717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45717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45717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45717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45717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45717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45717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45717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45717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45717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45717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45717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45717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45717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45717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45717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45717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45717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45717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45717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45717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45717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45717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45717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45717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45717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45717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45717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45717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45717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45717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45717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45717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45717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45717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45717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45717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45717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45717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45717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45717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45717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45717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45717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45717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45717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45717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45717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45717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45717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45717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45717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45717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45717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45717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45717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45717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45717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45717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45717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45717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45717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45717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45717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45717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45717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45717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45717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45717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45717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45717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45717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45717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45717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45717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45717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45717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45717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45717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45717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45717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45717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45717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45717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45717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45717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45717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45717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45717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45717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45717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45717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45717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45717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45717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45717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45717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45717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45717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45717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45717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45717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45717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45717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45717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45717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45717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45717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45717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45717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45717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45717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45717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45717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45717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45717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45717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45717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45717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45717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45717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45717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45717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45717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45717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45717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45717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45717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45717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45717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45717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45717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45717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45717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45717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45717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45717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6484-2025</t>
        </is>
      </c>
      <c r="B450" s="1" t="n">
        <v>45699</v>
      </c>
      <c r="C450" s="1" t="n">
        <v>45717</v>
      </c>
      <c r="D450" t="inlineStr">
        <is>
          <t>ÖSTERGÖTLANDS LÄN</t>
        </is>
      </c>
      <c r="E450" t="inlineStr">
        <is>
          <t>ÖDESHÖG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6517-2025</t>
        </is>
      </c>
      <c r="B451" s="1" t="n">
        <v>45699</v>
      </c>
      <c r="C451" s="1" t="n">
        <v>45717</v>
      </c>
      <c r="D451" t="inlineStr">
        <is>
          <t>ÖSTERGÖTLANDS LÄN</t>
        </is>
      </c>
      <c r="E451" t="inlineStr">
        <is>
          <t>ÖDESHÖG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45717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6456-2025</t>
        </is>
      </c>
      <c r="B453" s="1" t="n">
        <v>45699</v>
      </c>
      <c r="C453" s="1" t="n">
        <v>45717</v>
      </c>
      <c r="D453" t="inlineStr">
        <is>
          <t>ÖSTERGÖTLANDS LÄN</t>
        </is>
      </c>
      <c r="E453" t="inlineStr">
        <is>
          <t>ÖDESHÖG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6375-2025</t>
        </is>
      </c>
      <c r="B454" s="1" t="n">
        <v>45699</v>
      </c>
      <c r="C454" s="1" t="n">
        <v>45717</v>
      </c>
      <c r="D454" t="inlineStr">
        <is>
          <t>ÖSTERGÖTLANDS LÄN</t>
        </is>
      </c>
      <c r="E454" t="inlineStr">
        <is>
          <t>ÖDESHÖG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6487-2025</t>
        </is>
      </c>
      <c r="B455" s="1" t="n">
        <v>45699</v>
      </c>
      <c r="C455" s="1" t="n">
        <v>45717</v>
      </c>
      <c r="D455" t="inlineStr">
        <is>
          <t>ÖSTERGÖTLANDS LÄN</t>
        </is>
      </c>
      <c r="E455" t="inlineStr">
        <is>
          <t>ÖDESHÖG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6506-2025</t>
        </is>
      </c>
      <c r="B456" s="1" t="n">
        <v>45699</v>
      </c>
      <c r="C456" s="1" t="n">
        <v>45717</v>
      </c>
      <c r="D456" t="inlineStr">
        <is>
          <t>ÖSTERGÖTLANDS LÄN</t>
        </is>
      </c>
      <c r="E456" t="inlineStr">
        <is>
          <t>ÖDESHÖG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6512-2025</t>
        </is>
      </c>
      <c r="B457" s="1" t="n">
        <v>45699</v>
      </c>
      <c r="C457" s="1" t="n">
        <v>45717</v>
      </c>
      <c r="D457" t="inlineStr">
        <is>
          <t>ÖSTERGÖTLANDS LÄN</t>
        </is>
      </c>
      <c r="E457" t="inlineStr">
        <is>
          <t>ÖDESHÖG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6557-2025</t>
        </is>
      </c>
      <c r="B458" s="1" t="n">
        <v>45699</v>
      </c>
      <c r="C458" s="1" t="n">
        <v>45717</v>
      </c>
      <c r="D458" t="inlineStr">
        <is>
          <t>ÖSTERGÖTLANDS LÄN</t>
        </is>
      </c>
      <c r="E458" t="inlineStr">
        <is>
          <t>ÖDESHÖG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6465-2025</t>
        </is>
      </c>
      <c r="B459" s="1" t="n">
        <v>45699</v>
      </c>
      <c r="C459" s="1" t="n">
        <v>45717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6421-2025</t>
        </is>
      </c>
      <c r="B460" s="1" t="n">
        <v>45699</v>
      </c>
      <c r="C460" s="1" t="n">
        <v>45717</v>
      </c>
      <c r="D460" t="inlineStr">
        <is>
          <t>ÖSTERGÖTLANDS LÄN</t>
        </is>
      </c>
      <c r="E460" t="inlineStr">
        <is>
          <t>ÖDESHÖG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45717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45717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7477-2025</t>
        </is>
      </c>
      <c r="B463" s="1" t="n">
        <v>45705</v>
      </c>
      <c r="C463" s="1" t="n">
        <v>45717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7785-2025</t>
        </is>
      </c>
      <c r="B464" s="1" t="n">
        <v>45706</v>
      </c>
      <c r="C464" s="1" t="n">
        <v>45717</v>
      </c>
      <c r="D464" t="inlineStr">
        <is>
          <t>ÖSTERGÖTLANDS LÄN</t>
        </is>
      </c>
      <c r="E464" t="inlineStr">
        <is>
          <t>ÖDESHÖG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8042-2025</t>
        </is>
      </c>
      <c r="B465" s="1" t="n">
        <v>45707</v>
      </c>
      <c r="C465" s="1" t="n">
        <v>45717</v>
      </c>
      <c r="D465" t="inlineStr">
        <is>
          <t>ÖSTERGÖTLANDS LÄN</t>
        </is>
      </c>
      <c r="E465" t="inlineStr">
        <is>
          <t>ÖDESHÖG</t>
        </is>
      </c>
      <c r="G465" t="n">
        <v>14.5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8039-2025</t>
        </is>
      </c>
      <c r="B466" s="1" t="n">
        <v>45707</v>
      </c>
      <c r="C466" s="1" t="n">
        <v>45717</v>
      </c>
      <c r="D466" t="inlineStr">
        <is>
          <t>ÖSTERGÖTLANDS LÄN</t>
        </is>
      </c>
      <c r="E466" t="inlineStr">
        <is>
          <t>ÖDESHÖG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8049-2025</t>
        </is>
      </c>
      <c r="B467" s="1" t="n">
        <v>45707</v>
      </c>
      <c r="C467" s="1" t="n">
        <v>45717</v>
      </c>
      <c r="D467" t="inlineStr">
        <is>
          <t>ÖSTERGÖTLANDS LÄN</t>
        </is>
      </c>
      <c r="E467" t="inlineStr">
        <is>
          <t>ÖDESHÖG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45717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45717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45717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8505-2025</t>
        </is>
      </c>
      <c r="B471" s="1" t="n">
        <v>45709</v>
      </c>
      <c r="C471" s="1" t="n">
        <v>45717</v>
      </c>
      <c r="D471" t="inlineStr">
        <is>
          <t>ÖSTERGÖTLANDS LÄN</t>
        </is>
      </c>
      <c r="E471" t="inlineStr">
        <is>
          <t>ÖDESHÖG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9321-2025</t>
        </is>
      </c>
      <c r="B472" s="1" t="n">
        <v>45714</v>
      </c>
      <c r="C472" s="1" t="n">
        <v>45717</v>
      </c>
      <c r="D472" t="inlineStr">
        <is>
          <t>ÖSTERGÖTLANDS LÄN</t>
        </is>
      </c>
      <c r="E472" t="inlineStr">
        <is>
          <t>ÖDESHÖG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9319-2025</t>
        </is>
      </c>
      <c r="B473" s="1" t="n">
        <v>45714</v>
      </c>
      <c r="C473" s="1" t="n">
        <v>45717</v>
      </c>
      <c r="D473" t="inlineStr">
        <is>
          <t>ÖSTERGÖTLANDS LÄN</t>
        </is>
      </c>
      <c r="E473" t="inlineStr">
        <is>
          <t>ÖDESHÖG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2025-03-01T16:16:45Z</dcterms:created>
  <dcterms:modified xmlns:dcterms="http://purl.org/dc/terms/" xmlns:xsi="http://www.w3.org/2001/XMLSchema-instance" xsi:type="dcterms:W3CDTF">2025-03-01T16:16:46Z</dcterms:modified>
</cp:coreProperties>
</file>