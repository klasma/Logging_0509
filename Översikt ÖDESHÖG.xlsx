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20262-2022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44698</v>
      </c>
      <c r="E3" s="1" t="n">
        <v>46256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10.3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4</v>
      </c>
      <c r="U3" t="n">
        <v>4</v>
      </c>
      <c r="V3" s="2" t="inlineStr">
        <is>
          <t>Knärot
Blåmossa
Mindre märgborre</t>
        </is>
      </c>
      <c r="W3">
        <f>HYPERLINK("https://klasma.github.io/Logging_0509/artfynd/A 20262-2022 artfynd.xlsx", "A 20262-2022")</f>
        <v/>
      </c>
      <c r="X3">
        <f>HYPERLINK("https://klasma.github.io/Logging_0509/kartor/A 20262-2022 karta.png", "A 20262-2022")</f>
        <v/>
      </c>
      <c r="Y3">
        <f>HYPERLINK("https://klasma.github.io/Logging_0509/kartor_geotiff/A 20262-2022 georefererad karta.tif", "A 20262-2022")</f>
        <v/>
      </c>
      <c r="Z3">
        <f>HYPERLINK("https://klasma.github.io/Logging_0509/knärot/A 20262-2022 karta knärot.png", "A 20262-2022")</f>
        <v/>
      </c>
      <c r="AA3">
        <f>HYPERLINK("https://klasma.github.io/Logging_0509/klagomål/A 20262-2022 FSC-klagomål.docx", "A 20262-2022")</f>
        <v/>
      </c>
      <c r="AB3">
        <f>HYPERLINK("https://klasma.github.io/Logging_0509/klagomålsmail/A 20262-2022 FSC-klagomål mail.docx", "A 20262-2022")</f>
        <v/>
      </c>
      <c r="AC3">
        <f>HYPERLINK("https://klasma.github.io/Logging_0509/tillsyn/A 20262-2022 tillsynsbegäran.docx", "A 20262-2022")</f>
        <v/>
      </c>
      <c r="AD3">
        <f>HYPERLINK("https://klasma.github.io/Logging_0509/tillsynsmail/A 20262-2022 tillsynsbegäran mail.docx", "A 20262-2022")</f>
        <v/>
      </c>
    </row>
    <row r="4" ht="15" customHeight="1">
      <c r="A4" t="inlineStr">
        <is>
          <t>A 11099-2025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46256</v>
      </c>
      <c r="F4" t="inlineStr">
        <is>
          <t>ÖSTERGÖTLANDS LÄN</t>
        </is>
      </c>
      <c r="G4" t="inlineStr">
        <is>
          <t>ÖDESHÖG</t>
        </is>
      </c>
      <c r="I4" t="n">
        <v>0.4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Strutbräken
Svart trolldruva
Gullviva</t>
        </is>
      </c>
      <c r="W4">
        <f>HYPERLINK("https://klasma.github.io/Logging_0509/artfynd/A 11099-2025 artfynd.xlsx", "A 11099-2025")</f>
        <v/>
      </c>
      <c r="X4">
        <f>HYPERLINK("https://klasma.github.io/Logging_0509/kartor/A 11099-2025 karta.png", "A 11099-2025")</f>
        <v/>
      </c>
      <c r="Y4">
        <f>HYPERLINK("https://klasma.github.io/Logging_0509/kartor_geotiff/A 11099-2025 georefererad karta.tif", "A 11099-2025")</f>
        <v/>
      </c>
      <c r="AA4">
        <f>HYPERLINK("https://klasma.github.io/Logging_0509/klagomål/A 11099-2025 FSC-klagomål.docx", "A 11099-2025")</f>
        <v/>
      </c>
      <c r="AB4">
        <f>HYPERLINK("https://klasma.github.io/Logging_0509/klagomålsmail/A 11099-2025 FSC-klagomål mail.docx", "A 11099-2025")</f>
        <v/>
      </c>
      <c r="AC4">
        <f>HYPERLINK("https://klasma.github.io/Logging_0509/tillsyn/A 11099-2025 tillsynsbegäran.docx", "A 11099-2025")</f>
        <v/>
      </c>
      <c r="AD4">
        <f>HYPERLINK("https://klasma.github.io/Logging_0509/tillsynsmail/A 11099-2025 tillsynsbegäran mail.docx", "A 11099-2025")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46256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46256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46256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46256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46256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32713-2024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45516</v>
      </c>
      <c r="E10" s="1" t="n">
        <v>46256</v>
      </c>
      <c r="F10" t="inlineStr">
        <is>
          <t>ÖSTERGÖTLANDS LÄN</t>
        </is>
      </c>
      <c r="G10" t="inlineStr">
        <is>
          <t>ÖDESHÖG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Kristinspindling</t>
        </is>
      </c>
      <c r="W10">
        <f>HYPERLINK("https://klasma.github.io/Logging_0509/artfynd/A 32713-2024 artfynd.xlsx", "A 32713-2024")</f>
        <v/>
      </c>
      <c r="X10">
        <f>HYPERLINK("https://klasma.github.io/Logging_0509/kartor/A 32713-2024 karta.png", "A 32713-2024")</f>
        <v/>
      </c>
      <c r="Y10">
        <f>HYPERLINK("https://klasma.github.io/Logging_0509/kartor_geotiff/A 32713-2024 georefererad karta.tif", "A 32713-2024")</f>
        <v/>
      </c>
      <c r="AA10">
        <f>HYPERLINK("https://klasma.github.io/Logging_0509/klagomål/A 32713-2024 FSC-klagomål.docx", "A 32713-2024")</f>
        <v/>
      </c>
      <c r="AB10">
        <f>HYPERLINK("https://klasma.github.io/Logging_0509/klagomålsmail/A 32713-2024 FSC-klagomål mail.docx", "A 32713-2024")</f>
        <v/>
      </c>
      <c r="AC10">
        <f>HYPERLINK("https://klasma.github.io/Logging_0509/tillsyn/A 32713-2024 tillsynsbegäran.docx", "A 32713-2024")</f>
        <v/>
      </c>
      <c r="AD10">
        <f>HYPERLINK("https://klasma.github.io/Logging_0509/tillsynsmail/A 32713-2024 tillsynsbegäran mail.docx", "A 32713-2024")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46256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62988-2023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46256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62988-2023 artfynd.xlsx", "A 62988-2023")</f>
        <v/>
      </c>
      <c r="X12">
        <f>HYPERLINK("https://klasma.github.io/Logging_0509/kartor/A 62988-2023 karta.png", "A 62988-2023")</f>
        <v/>
      </c>
      <c r="Y12">
        <f>HYPERLINK("https://klasma.github.io/Logging_0509/kartor_geotiff/A 62988-2023 georefererad karta.tif", "A 62988-2023")</f>
        <v/>
      </c>
      <c r="AA12">
        <f>HYPERLINK("https://klasma.github.io/Logging_0509/klagomål/A 62988-2023 FSC-klagomål.docx", "A 62988-2023")</f>
        <v/>
      </c>
      <c r="AB12">
        <f>HYPERLINK("https://klasma.github.io/Logging_0509/klagomålsmail/A 62988-2023 FSC-klagomål mail.docx", "A 62988-2023")</f>
        <v/>
      </c>
      <c r="AC12">
        <f>HYPERLINK("https://klasma.github.io/Logging_0509/tillsyn/A 62988-2023 tillsynsbegäran.docx", "A 62988-2023")</f>
        <v/>
      </c>
      <c r="AD12">
        <f>HYPERLINK("https://klasma.github.io/Logging_0509/tillsynsmail/A 62988-2023 tillsynsbegäran mail.docx", "A 62988-2023")</f>
        <v/>
      </c>
    </row>
    <row r="13" ht="15" customHeight="1">
      <c r="A13" t="inlineStr">
        <is>
          <t>A 38720-2023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46256</v>
      </c>
      <c r="F13" t="inlineStr">
        <is>
          <t>ÖSTERGÖTLANDS LÄN</t>
        </is>
      </c>
      <c r="G13" t="inlineStr">
        <is>
          <t>ÖDESHÖG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Hässleklocka</t>
        </is>
      </c>
      <c r="W13">
        <f>HYPERLINK("https://klasma.github.io/Logging_0509/artfynd/A 38720-2023 artfynd.xlsx", "A 38720-2023")</f>
        <v/>
      </c>
      <c r="X13">
        <f>HYPERLINK("https://klasma.github.io/Logging_0509/kartor/A 38720-2023 karta.png", "A 38720-2023")</f>
        <v/>
      </c>
      <c r="Y13">
        <f>HYPERLINK("https://klasma.github.io/Logging_0509/kartor_geotiff/A 38720-2023 georefererad karta.tif", "A 38720-2023")</f>
        <v/>
      </c>
      <c r="AA13">
        <f>HYPERLINK("https://klasma.github.io/Logging_0509/klagomål/A 38720-2023 FSC-klagomål.docx", "A 38720-2023")</f>
        <v/>
      </c>
      <c r="AB13">
        <f>HYPERLINK("https://klasma.github.io/Logging_0509/klagomålsmail/A 38720-2023 FSC-klagomål mail.docx", "A 38720-2023")</f>
        <v/>
      </c>
      <c r="AC13">
        <f>HYPERLINK("https://klasma.github.io/Logging_0509/tillsyn/A 38720-2023 tillsynsbegäran.docx", "A 38720-2023")</f>
        <v/>
      </c>
      <c r="AD13">
        <f>HYPERLINK("https://klasma.github.io/Logging_0509/tillsynsmail/A 38720-2023 tillsynsbegäran mail.docx", "A 38720-2023")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46256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56637-2023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45243</v>
      </c>
      <c r="E15" s="1" t="n">
        <v>46256</v>
      </c>
      <c r="F15" t="inlineStr">
        <is>
          <t>ÖSTERGÖTLANDS LÄN</t>
        </is>
      </c>
      <c r="G15" t="inlineStr">
        <is>
          <t>ÖDESHÖG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56637-2023 artfynd.xlsx", "A 56637-2023")</f>
        <v/>
      </c>
      <c r="X15">
        <f>HYPERLINK("https://klasma.github.io/Logging_0509/kartor/A 56637-2023 karta.png", "A 56637-2023")</f>
        <v/>
      </c>
      <c r="Y15">
        <f>HYPERLINK("https://klasma.github.io/Logging_0509/kartor_geotiff/A 56637-2023 georefererad karta.tif", "A 56637-2023")</f>
        <v/>
      </c>
      <c r="AA15">
        <f>HYPERLINK("https://klasma.github.io/Logging_0509/klagomål/A 56637-2023 FSC-klagomål.docx", "A 56637-2023")</f>
        <v/>
      </c>
      <c r="AB15">
        <f>HYPERLINK("https://klasma.github.io/Logging_0509/klagomålsmail/A 56637-2023 FSC-klagomål mail.docx", "A 56637-2023")</f>
        <v/>
      </c>
      <c r="AC15">
        <f>HYPERLINK("https://klasma.github.io/Logging_0509/tillsyn/A 56637-2023 tillsynsbegäran.docx", "A 56637-2023")</f>
        <v/>
      </c>
      <c r="AD15">
        <f>HYPERLINK("https://klasma.github.io/Logging_0509/tillsynsmail/A 56637-2023 tillsynsbegäran mail.docx", "A 56637-2023")</f>
        <v/>
      </c>
    </row>
    <row r="16" ht="15" customHeight="1">
      <c r="A16" t="inlineStr">
        <is>
          <t>A 50774-2023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46256</v>
      </c>
      <c r="F16" t="inlineStr">
        <is>
          <t>ÖSTERGÖTLANDS LÄN</t>
        </is>
      </c>
      <c r="G16" t="inlineStr">
        <is>
          <t>ÖDESHÖG</t>
        </is>
      </c>
      <c r="I16" t="n">
        <v>9.5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Mörk dunört</t>
        </is>
      </c>
      <c r="W16">
        <f>HYPERLINK("https://klasma.github.io/Logging_0509/artfynd/A 50774-2023 artfynd.xlsx", "A 50774-2023")</f>
        <v/>
      </c>
      <c r="X16">
        <f>HYPERLINK("https://klasma.github.io/Logging_0509/kartor/A 50774-2023 karta.png", "A 50774-2023")</f>
        <v/>
      </c>
      <c r="Y16">
        <f>HYPERLINK("https://klasma.github.io/Logging_0509/kartor_geotiff/A 50774-2023 georefererad karta.tif", "A 50774-2023")</f>
        <v/>
      </c>
      <c r="AA16">
        <f>HYPERLINK("https://klasma.github.io/Logging_0509/klagomål/A 50774-2023 FSC-klagomål.docx", "A 50774-2023")</f>
        <v/>
      </c>
      <c r="AB16">
        <f>HYPERLINK("https://klasma.github.io/Logging_0509/klagomålsmail/A 50774-2023 FSC-klagomål mail.docx", "A 50774-2023")</f>
        <v/>
      </c>
      <c r="AC16">
        <f>HYPERLINK("https://klasma.github.io/Logging_0509/tillsyn/A 50774-2023 tillsynsbegäran.docx", "A 50774-2023")</f>
        <v/>
      </c>
      <c r="AD16">
        <f>HYPERLINK("https://klasma.github.io/Logging_0509/tillsynsmail/A 50774-2023 tillsynsbegäran mail.docx", "A 50774-2023")</f>
        <v/>
      </c>
    </row>
    <row r="17" ht="15" customHeight="1">
      <c r="A17" t="inlineStr">
        <is>
          <t>A 15437-2025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45747</v>
      </c>
      <c r="E17" s="1" t="n">
        <v>46256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HYPERLINK("https://klasma.github.io/Logging_0509/artfynd/A 15437-2025 artfynd.xlsx", "A 15437-2025")</f>
        <v/>
      </c>
      <c r="X17">
        <f>HYPERLINK("https://klasma.github.io/Logging_0509/kartor/A 15437-2025 karta.png", "A 15437-2025")</f>
        <v/>
      </c>
      <c r="Y17">
        <f>HYPERLINK("https://klasma.github.io/Logging_0509/kartor_geotiff/A 15437-2025 georefererad karta.tif", "A 15437-2025")</f>
        <v/>
      </c>
      <c r="Z17">
        <f>HYPERLINK("https://klasma.github.io/Logging_0509/knärot/A 15437-2025 karta knärot.png", "A 15437-2025")</f>
        <v/>
      </c>
      <c r="AA17">
        <f>HYPERLINK("https://klasma.github.io/Logging_0509/klagomål/A 15437-2025 FSC-klagomål.docx", "A 15437-2025")</f>
        <v/>
      </c>
      <c r="AB17">
        <f>HYPERLINK("https://klasma.github.io/Logging_0509/klagomålsmail/A 15437-2025 FSC-klagomål mail.docx", "A 15437-2025")</f>
        <v/>
      </c>
      <c r="AC17">
        <f>HYPERLINK("https://klasma.github.io/Logging_0509/tillsyn/A 15437-2025 tillsynsbegäran.docx", "A 15437-2025")</f>
        <v/>
      </c>
      <c r="AD17">
        <f>HYPERLINK("https://klasma.github.io/Logging_0509/tillsynsmail/A 15437-2025 tillsynsbegäran mail.docx", "A 15437-2025")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46256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46256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46256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46256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46256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46256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46256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46256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46256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46256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46256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46256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46256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46256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46256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45519</v>
      </c>
      <c r="E33" s="1" t="n">
        <v>46256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39024-2023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46256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43263-2023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45183</v>
      </c>
      <c r="E35" s="1" t="n">
        <v>46256</v>
      </c>
      <c r="F35" t="inlineStr">
        <is>
          <t>ÖSTERGÖTLANDS LÄN</t>
        </is>
      </c>
      <c r="G35" t="inlineStr">
        <is>
          <t>ÖDESHÖG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45582</v>
      </c>
      <c r="E36" s="1" t="n">
        <v>46256</v>
      </c>
      <c r="F36" t="inlineStr">
        <is>
          <t>ÖSTERGÖTLANDS LÄN</t>
        </is>
      </c>
      <c r="G36" t="inlineStr">
        <is>
          <t>ÖDESHÖG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46256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46256</v>
      </c>
      <c r="F38" t="inlineStr">
        <is>
          <t>ÖSTERGÖTLANDS LÄN</t>
        </is>
      </c>
      <c r="G38" t="inlineStr">
        <is>
          <t>ÖDESHÖG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45678</v>
      </c>
      <c r="E39" s="1" t="n">
        <v>46256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18.6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46256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15915-2024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45405</v>
      </c>
      <c r="E41" s="1" t="n">
        <v>46256</v>
      </c>
      <c r="F41" t="inlineStr">
        <is>
          <t>ÖSTERGÖTLANDS LÄN</t>
        </is>
      </c>
      <c r="G41" t="inlineStr">
        <is>
          <t>ÖDESHÖG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46256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44698</v>
      </c>
      <c r="E43" s="1" t="n">
        <v>46256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46256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5819-2024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46256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35661-2024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46256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45069</v>
      </c>
      <c r="E47" s="1" t="n">
        <v>46256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44803</v>
      </c>
      <c r="E48" s="1" t="n">
        <v>46256</v>
      </c>
      <c r="F48" t="inlineStr">
        <is>
          <t>ÖSTERGÖTLANDS LÄN</t>
        </is>
      </c>
      <c r="G48" t="inlineStr">
        <is>
          <t>ÖDESHÖG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46256</v>
      </c>
      <c r="F49" t="inlineStr">
        <is>
          <t>ÖSTERGÖTLANDS LÄN</t>
        </is>
      </c>
      <c r="G49" t="inlineStr">
        <is>
          <t>ÖDESHÖG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45707</v>
      </c>
      <c r="E50" s="1" t="n">
        <v>46256</v>
      </c>
      <c r="F50" t="inlineStr">
        <is>
          <t>ÖSTERGÖTLANDS LÄN</t>
        </is>
      </c>
      <c r="G50" t="inlineStr">
        <is>
          <t>ÖDESHÖG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8256-2023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44974</v>
      </c>
      <c r="E51" s="1" t="n">
        <v>46256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45516</v>
      </c>
      <c r="E52" s="1" t="n">
        <v>46256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45902</v>
      </c>
      <c r="E53" s="1" t="n">
        <v>46256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46256</v>
      </c>
      <c r="F54" t="inlineStr">
        <is>
          <t>ÖSTERGÖTLANDS LÄN</t>
        </is>
      </c>
      <c r="G54" t="inlineStr">
        <is>
          <t>ÖDESHÖG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46256</v>
      </c>
      <c r="F55" t="inlineStr">
        <is>
          <t>ÖSTERGÖTLANDS LÄN</t>
        </is>
      </c>
      <c r="G55" t="inlineStr">
        <is>
          <t>ÖDESHÖG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46256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15813-2022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44664</v>
      </c>
      <c r="E57" s="1" t="n">
        <v>46256</v>
      </c>
      <c r="F57" t="inlineStr">
        <is>
          <t>ÖSTERGÖTLANDS LÄN</t>
        </is>
      </c>
      <c r="G57" t="inlineStr">
        <is>
          <t>ÖDESHÖG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46256</v>
      </c>
      <c r="F58" t="inlineStr">
        <is>
          <t>ÖSTERGÖTLANDS LÄN</t>
        </is>
      </c>
      <c r="G58" t="inlineStr">
        <is>
          <t>ÖDESHÖG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46256</v>
      </c>
      <c r="F59" t="inlineStr">
        <is>
          <t>ÖSTERGÖTLANDS LÄN</t>
        </is>
      </c>
      <c r="G59" t="inlineStr">
        <is>
          <t>ÖDESHÖG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44069-2023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46256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56841-2022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46256</v>
      </c>
      <c r="F61" t="inlineStr">
        <is>
          <t>ÖSTERGÖTLANDS LÄN</t>
        </is>
      </c>
      <c r="G61" t="inlineStr">
        <is>
          <t>ÖDESHÖG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45412</v>
      </c>
      <c r="E62" s="1" t="n">
        <v>46256</v>
      </c>
      <c r="F62" t="inlineStr">
        <is>
          <t>ÖSTERGÖTLANDS LÄN</t>
        </is>
      </c>
      <c r="G62" t="inlineStr">
        <is>
          <t>ÖDESHÖG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44937</v>
      </c>
      <c r="E63" s="1" t="n">
        <v>46256</v>
      </c>
      <c r="F63" t="inlineStr">
        <is>
          <t>ÖSTERGÖTLANDS LÄN</t>
        </is>
      </c>
      <c r="G63" t="inlineStr">
        <is>
          <t>ÖDESHÖG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46256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15909-2024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45405</v>
      </c>
      <c r="E65" s="1" t="n">
        <v>46256</v>
      </c>
      <c r="F65" t="inlineStr">
        <is>
          <t>ÖSTERGÖTLANDS LÄN</t>
        </is>
      </c>
      <c r="G65" t="inlineStr">
        <is>
          <t>ÖDESHÖG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46256</v>
      </c>
      <c r="F66" t="inlineStr">
        <is>
          <t>ÖSTERGÖTLANDS LÄN</t>
        </is>
      </c>
      <c r="G66" t="inlineStr">
        <is>
          <t>ÖDESHÖG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46256</v>
      </c>
      <c r="F67" t="inlineStr">
        <is>
          <t>ÖSTERGÖTLANDS LÄN</t>
        </is>
      </c>
      <c r="G67" t="inlineStr">
        <is>
          <t>ÖDESHÖG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46256</v>
      </c>
      <c r="F68" t="inlineStr">
        <is>
          <t>ÖSTERGÖTLANDS LÄN</t>
        </is>
      </c>
      <c r="G68" t="inlineStr">
        <is>
          <t>ÖDESHÖG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46256</v>
      </c>
      <c r="F69" t="inlineStr">
        <is>
          <t>ÖSTERGÖTLANDS LÄN</t>
        </is>
      </c>
      <c r="G69" t="inlineStr">
        <is>
          <t>ÖDESHÖG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46256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45065</v>
      </c>
      <c r="E71" s="1" t="n">
        <v>46256</v>
      </c>
      <c r="F71" t="inlineStr">
        <is>
          <t>ÖSTERGÖTLANDS LÄN</t>
        </is>
      </c>
      <c r="G71" t="inlineStr">
        <is>
          <t>ÖDESHÖG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46256</v>
      </c>
      <c r="F72" t="inlineStr">
        <is>
          <t>ÖSTERGÖTLANDS LÄN</t>
        </is>
      </c>
      <c r="G72" t="inlineStr">
        <is>
          <t>ÖDESHÖG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46256</v>
      </c>
      <c r="F73" t="inlineStr">
        <is>
          <t>ÖSTERGÖTLANDS LÄN</t>
        </is>
      </c>
      <c r="G73" t="inlineStr">
        <is>
          <t>ÖDESHÖG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64802-2021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44512</v>
      </c>
      <c r="E74" s="1" t="n">
        <v>46256</v>
      </c>
      <c r="F74" t="inlineStr">
        <is>
          <t>ÖSTERGÖTLANDS LÄN</t>
        </is>
      </c>
      <c r="G74" t="inlineStr">
        <is>
          <t>ÖDESHÖG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46256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46256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46256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46256</v>
      </c>
      <c r="F78" t="inlineStr">
        <is>
          <t>ÖSTERGÖTLANDS LÄN</t>
        </is>
      </c>
      <c r="G78" t="inlineStr">
        <is>
          <t>ÖDESHÖG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45316</v>
      </c>
      <c r="E79" s="1" t="n">
        <v>46256</v>
      </c>
      <c r="F79" t="inlineStr">
        <is>
          <t>ÖSTERGÖTLANDS LÄN</t>
        </is>
      </c>
      <c r="G79" t="inlineStr">
        <is>
          <t>ÖDESHÖG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46256</v>
      </c>
      <c r="F80" t="inlineStr">
        <is>
          <t>ÖSTERGÖTLANDS LÄN</t>
        </is>
      </c>
      <c r="G80" t="inlineStr">
        <is>
          <t>ÖDESHÖG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46256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46256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46256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46256</v>
      </c>
      <c r="F84" t="inlineStr">
        <is>
          <t>ÖSTERGÖTLANDS LÄN</t>
        </is>
      </c>
      <c r="G84" t="inlineStr">
        <is>
          <t>ÖDESHÖG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46256</v>
      </c>
      <c r="F85" t="inlineStr">
        <is>
          <t>ÖSTERGÖTLANDS LÄN</t>
        </is>
      </c>
      <c r="G85" t="inlineStr">
        <is>
          <t>ÖDESHÖG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45603</v>
      </c>
      <c r="E86" s="1" t="n">
        <v>46256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46256</v>
      </c>
      <c r="F87" t="inlineStr">
        <is>
          <t>ÖSTERGÖTLANDS LÄN</t>
        </is>
      </c>
      <c r="G87" t="inlineStr">
        <is>
          <t>ÖDESHÖG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46256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46256</v>
      </c>
      <c r="F89" t="inlineStr">
        <is>
          <t>ÖSTERGÖTLANDS LÄN</t>
        </is>
      </c>
      <c r="G89" t="inlineStr">
        <is>
          <t>ÖDESHÖG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46256</v>
      </c>
      <c r="F90" t="inlineStr">
        <is>
          <t>ÖSTERGÖTLANDS LÄN</t>
        </is>
      </c>
      <c r="G90" t="inlineStr">
        <is>
          <t>ÖDESHÖG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46256</v>
      </c>
      <c r="F91" t="inlineStr">
        <is>
          <t>ÖSTERGÖTLANDS LÄN</t>
        </is>
      </c>
      <c r="G91" t="inlineStr">
        <is>
          <t>ÖDESHÖG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45048</v>
      </c>
      <c r="E92" s="1" t="n">
        <v>46256</v>
      </c>
      <c r="F92" t="inlineStr">
        <is>
          <t>ÖSTERGÖTLANDS LÄN</t>
        </is>
      </c>
      <c r="G92" t="inlineStr">
        <is>
          <t>ÖDESHÖG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46256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46256</v>
      </c>
      <c r="F94" t="inlineStr">
        <is>
          <t>ÖSTERGÖTLANDS LÄN</t>
        </is>
      </c>
      <c r="G94" t="inlineStr">
        <is>
          <t>ÖDESHÖG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46256</v>
      </c>
      <c r="F95" t="inlineStr">
        <is>
          <t>ÖSTERGÖTLANDS LÄN</t>
        </is>
      </c>
      <c r="G95" t="inlineStr">
        <is>
          <t>ÖDESHÖG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45027</v>
      </c>
      <c r="E96" s="1" t="n">
        <v>46256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46256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46256</v>
      </c>
      <c r="F98" t="inlineStr">
        <is>
          <t>ÖSTERGÖTLANDS LÄN</t>
        </is>
      </c>
      <c r="G98" t="inlineStr">
        <is>
          <t>ÖDESHÖG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46256</v>
      </c>
      <c r="F99" t="inlineStr">
        <is>
          <t>ÖSTERGÖTLANDS LÄN</t>
        </is>
      </c>
      <c r="G99" t="inlineStr">
        <is>
          <t>ÖDESHÖG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46256</v>
      </c>
      <c r="F100" t="inlineStr">
        <is>
          <t>ÖSTERGÖTLANDS LÄN</t>
        </is>
      </c>
      <c r="G100" t="inlineStr">
        <is>
          <t>ÖDESHÖG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46256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46256</v>
      </c>
      <c r="F102" t="inlineStr">
        <is>
          <t>ÖSTERGÖTLANDS LÄN</t>
        </is>
      </c>
      <c r="G102" t="inlineStr">
        <is>
          <t>ÖDESHÖG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46256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46256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45776</v>
      </c>
      <c r="E105" s="1" t="n">
        <v>46256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46256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46256</v>
      </c>
      <c r="F107" t="inlineStr">
        <is>
          <t>ÖSTERGÖTLANDS LÄN</t>
        </is>
      </c>
      <c r="G107" t="inlineStr">
        <is>
          <t>ÖDESHÖG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46256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46256</v>
      </c>
      <c r="F109" t="inlineStr">
        <is>
          <t>ÖSTERGÖTLANDS LÄN</t>
        </is>
      </c>
      <c r="G109" t="inlineStr">
        <is>
          <t>ÖDESHÖG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46256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46256</v>
      </c>
      <c r="F111" t="inlineStr">
        <is>
          <t>ÖSTERGÖTLANDS LÄN</t>
        </is>
      </c>
      <c r="G111" t="inlineStr">
        <is>
          <t>ÖDESHÖG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44700</v>
      </c>
      <c r="E112" s="1" t="n">
        <v>46256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46256</v>
      </c>
      <c r="F113" t="inlineStr">
        <is>
          <t>ÖSTERGÖTLANDS LÄN</t>
        </is>
      </c>
      <c r="G113" t="inlineStr">
        <is>
          <t>ÖDESHÖG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46256</v>
      </c>
      <c r="F114" t="inlineStr">
        <is>
          <t>ÖSTERGÖTLANDS LÄN</t>
        </is>
      </c>
      <c r="G114" t="inlineStr">
        <is>
          <t>ÖDESHÖG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45416</v>
      </c>
      <c r="E115" s="1" t="n">
        <v>46256</v>
      </c>
      <c r="F115" t="inlineStr">
        <is>
          <t>ÖSTERGÖTLANDS LÄN</t>
        </is>
      </c>
      <c r="G115" t="inlineStr">
        <is>
          <t>ÖDESHÖG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44658</v>
      </c>
      <c r="E116" s="1" t="n">
        <v>46256</v>
      </c>
      <c r="F116" t="inlineStr">
        <is>
          <t>ÖSTERGÖTLANDS LÄN</t>
        </is>
      </c>
      <c r="G116" t="inlineStr">
        <is>
          <t>ÖDESHÖG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46256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46256</v>
      </c>
      <c r="F118" t="inlineStr">
        <is>
          <t>ÖSTERGÖTLANDS LÄN</t>
        </is>
      </c>
      <c r="G118" t="inlineStr">
        <is>
          <t>ÖDESHÖG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46256</v>
      </c>
      <c r="F119" t="inlineStr">
        <is>
          <t>ÖSTERGÖTLANDS LÄN</t>
        </is>
      </c>
      <c r="G119" t="inlineStr">
        <is>
          <t>ÖDESHÖG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45160</v>
      </c>
      <c r="E120" s="1" t="n">
        <v>46256</v>
      </c>
      <c r="F120" t="inlineStr">
        <is>
          <t>ÖSTERGÖTLANDS LÄN</t>
        </is>
      </c>
      <c r="G120" t="inlineStr">
        <is>
          <t>ÖDESHÖG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45693</v>
      </c>
      <c r="E121" s="1" t="n">
        <v>46256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45337</v>
      </c>
      <c r="E122" s="1" t="n">
        <v>46256</v>
      </c>
      <c r="F122" t="inlineStr">
        <is>
          <t>ÖSTERGÖTLANDS LÄN</t>
        </is>
      </c>
      <c r="G122" t="inlineStr">
        <is>
          <t>ÖDESHÖG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46256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46256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46256</v>
      </c>
      <c r="F125" t="inlineStr">
        <is>
          <t>ÖSTERGÖTLANDS LÄN</t>
        </is>
      </c>
      <c r="G125" t="inlineStr">
        <is>
          <t>ÖDESHÖG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46256</v>
      </c>
      <c r="F126" t="inlineStr">
        <is>
          <t>ÖSTERGÖTLANDS LÄN</t>
        </is>
      </c>
      <c r="G126" t="inlineStr">
        <is>
          <t>ÖDESHÖG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46256</v>
      </c>
      <c r="F127" t="inlineStr">
        <is>
          <t>ÖSTERGÖTLANDS LÄN</t>
        </is>
      </c>
      <c r="G127" t="inlineStr">
        <is>
          <t>ÖDESHÖG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45331</v>
      </c>
      <c r="E128" s="1" t="n">
        <v>46256</v>
      </c>
      <c r="F128" t="inlineStr">
        <is>
          <t>ÖSTERGÖTLANDS LÄN</t>
        </is>
      </c>
      <c r="G128" t="inlineStr">
        <is>
          <t>ÖDESHÖG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46256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9.5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46256</v>
      </c>
      <c r="F130" t="inlineStr">
        <is>
          <t>ÖSTERGÖTLANDS LÄN</t>
        </is>
      </c>
      <c r="G130" t="inlineStr">
        <is>
          <t>ÖDESHÖG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46256</v>
      </c>
      <c r="F131" t="inlineStr">
        <is>
          <t>ÖSTERGÖTLANDS LÄN</t>
        </is>
      </c>
      <c r="G131" t="inlineStr">
        <is>
          <t>ÖDESHÖG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46256</v>
      </c>
      <c r="F132" t="inlineStr">
        <is>
          <t>ÖSTERGÖTLANDS LÄN</t>
        </is>
      </c>
      <c r="G132" t="inlineStr">
        <is>
          <t>ÖDESHÖG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46256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46256</v>
      </c>
      <c r="F134" t="inlineStr">
        <is>
          <t>ÖSTERGÖTLANDS LÄN</t>
        </is>
      </c>
      <c r="G134" t="inlineStr">
        <is>
          <t>ÖDESHÖG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46256</v>
      </c>
      <c r="F135" t="inlineStr">
        <is>
          <t>ÖSTERGÖTLANDS LÄN</t>
        </is>
      </c>
      <c r="G135" t="inlineStr">
        <is>
          <t>ÖDESHÖG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46256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46256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46256</v>
      </c>
      <c r="F138" t="inlineStr">
        <is>
          <t>ÖSTERGÖTLANDS LÄN</t>
        </is>
      </c>
      <c r="G138" t="inlineStr">
        <is>
          <t>ÖDESHÖG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46256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46256</v>
      </c>
      <c r="F140" t="inlineStr">
        <is>
          <t>ÖSTERGÖTLANDS LÄN</t>
        </is>
      </c>
      <c r="G140" t="inlineStr">
        <is>
          <t>ÖDESHÖG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46256</v>
      </c>
      <c r="F141" t="inlineStr">
        <is>
          <t>ÖSTERGÖTLANDS LÄN</t>
        </is>
      </c>
      <c r="G141" t="inlineStr">
        <is>
          <t>ÖDESHÖG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46256</v>
      </c>
      <c r="F142" t="inlineStr">
        <is>
          <t>ÖSTERGÖTLANDS LÄN</t>
        </is>
      </c>
      <c r="G142" t="inlineStr">
        <is>
          <t>ÖDESHÖG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46256</v>
      </c>
      <c r="F143" t="inlineStr">
        <is>
          <t>ÖSTERGÖTLANDS LÄN</t>
        </is>
      </c>
      <c r="G143" t="inlineStr">
        <is>
          <t>ÖDESHÖG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46256</v>
      </c>
      <c r="F144" t="inlineStr">
        <is>
          <t>ÖSTERGÖTLANDS LÄN</t>
        </is>
      </c>
      <c r="G144" t="inlineStr">
        <is>
          <t>ÖDESHÖG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46256</v>
      </c>
      <c r="F145" t="inlineStr">
        <is>
          <t>ÖSTERGÖTLANDS LÄN</t>
        </is>
      </c>
      <c r="G145" t="inlineStr">
        <is>
          <t>ÖDESHÖG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46256</v>
      </c>
      <c r="F146" t="inlineStr">
        <is>
          <t>ÖSTERGÖTLANDS LÄN</t>
        </is>
      </c>
      <c r="G146" t="inlineStr">
        <is>
          <t>ÖDESHÖG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46256</v>
      </c>
      <c r="F147" t="inlineStr">
        <is>
          <t>ÖSTERGÖTLANDS LÄN</t>
        </is>
      </c>
      <c r="G147" t="inlineStr">
        <is>
          <t>ÖDESHÖG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46256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46256</v>
      </c>
      <c r="F149" t="inlineStr">
        <is>
          <t>ÖSTERGÖTLANDS LÄN</t>
        </is>
      </c>
      <c r="G149" t="inlineStr">
        <is>
          <t>ÖDESHÖG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46256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46256</v>
      </c>
      <c r="F151" t="inlineStr">
        <is>
          <t>ÖSTERGÖTLANDS LÄN</t>
        </is>
      </c>
      <c r="G151" t="inlineStr">
        <is>
          <t>ÖDESHÖG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46256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46256</v>
      </c>
      <c r="F153" t="inlineStr">
        <is>
          <t>ÖSTERGÖTLANDS LÄN</t>
        </is>
      </c>
      <c r="G153" t="inlineStr">
        <is>
          <t>ÖDESHÖG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46256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46256</v>
      </c>
      <c r="F155" t="inlineStr">
        <is>
          <t>ÖSTERGÖTLANDS LÄN</t>
        </is>
      </c>
      <c r="G155" t="inlineStr">
        <is>
          <t>ÖDESHÖG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46256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46256</v>
      </c>
      <c r="F157" t="inlineStr">
        <is>
          <t>ÖSTERGÖTLANDS LÄN</t>
        </is>
      </c>
      <c r="G157" t="inlineStr">
        <is>
          <t>ÖDESHÖG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45027</v>
      </c>
      <c r="E158" s="1" t="n">
        <v>46256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46256</v>
      </c>
      <c r="F159" t="inlineStr">
        <is>
          <t>ÖSTERGÖTLANDS LÄN</t>
        </is>
      </c>
      <c r="G159" t="inlineStr">
        <is>
          <t>ÖDESHÖG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46256</v>
      </c>
      <c r="F160" t="inlineStr">
        <is>
          <t>ÖSTERGÖTLANDS LÄN</t>
        </is>
      </c>
      <c r="G160" t="inlineStr">
        <is>
          <t>ÖDESHÖG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46256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46256</v>
      </c>
      <c r="F162" t="inlineStr">
        <is>
          <t>ÖSTERGÖTLANDS LÄN</t>
        </is>
      </c>
      <c r="G162" t="inlineStr">
        <is>
          <t>ÖDESHÖG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46256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46256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46256</v>
      </c>
      <c r="F165" t="inlineStr">
        <is>
          <t>ÖSTERGÖTLANDS LÄN</t>
        </is>
      </c>
      <c r="G165" t="inlineStr">
        <is>
          <t>ÖDESHÖG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61011-2024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45645</v>
      </c>
      <c r="E166" s="1" t="n">
        <v>46256</v>
      </c>
      <c r="F166" t="inlineStr">
        <is>
          <t>ÖSTERGÖTLANDS LÄN</t>
        </is>
      </c>
      <c r="G166" t="inlineStr">
        <is>
          <t>ÖDESHÖG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46256</v>
      </c>
      <c r="F167" t="inlineStr">
        <is>
          <t>ÖSTERGÖTLANDS LÄN</t>
        </is>
      </c>
      <c r="G167" t="inlineStr">
        <is>
          <t>ÖDESHÖG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46256</v>
      </c>
      <c r="F168" t="inlineStr">
        <is>
          <t>ÖSTERGÖTLANDS LÄN</t>
        </is>
      </c>
      <c r="G168" t="inlineStr">
        <is>
          <t>ÖDESHÖG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15906-2024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45405</v>
      </c>
      <c r="E169" s="1" t="n">
        <v>46256</v>
      </c>
      <c r="F169" t="inlineStr">
        <is>
          <t>ÖSTERGÖTLANDS LÄN</t>
        </is>
      </c>
      <c r="G169" t="inlineStr">
        <is>
          <t>ÖDESHÖG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46256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46256</v>
      </c>
      <c r="F171" t="inlineStr">
        <is>
          <t>ÖSTERGÖTLANDS LÄN</t>
        </is>
      </c>
      <c r="G171" t="inlineStr">
        <is>
          <t>ÖDESHÖG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46256</v>
      </c>
      <c r="F172" t="inlineStr">
        <is>
          <t>ÖSTERGÖTLANDS LÄN</t>
        </is>
      </c>
      <c r="G172" t="inlineStr">
        <is>
          <t>ÖDESHÖG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46256</v>
      </c>
      <c r="F173" t="inlineStr">
        <is>
          <t>ÖSTERGÖTLANDS LÄN</t>
        </is>
      </c>
      <c r="G173" t="inlineStr">
        <is>
          <t>ÖDESHÖG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46256</v>
      </c>
      <c r="F174" t="inlineStr">
        <is>
          <t>ÖSTERGÖTLANDS LÄN</t>
        </is>
      </c>
      <c r="G174" t="inlineStr">
        <is>
          <t>ÖDESHÖG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46256</v>
      </c>
      <c r="F175" t="inlineStr">
        <is>
          <t>ÖSTERGÖTLANDS LÄN</t>
        </is>
      </c>
      <c r="G175" t="inlineStr">
        <is>
          <t>ÖDESHÖG</t>
        </is>
      </c>
      <c r="I175" t="n">
        <v>13.4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48325-2022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44858</v>
      </c>
      <c r="E176" s="1" t="n">
        <v>46256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46256</v>
      </c>
      <c r="F177" t="inlineStr">
        <is>
          <t>ÖSTERGÖTLANDS LÄN</t>
        </is>
      </c>
      <c r="G177" t="inlineStr">
        <is>
          <t>ÖDESHÖG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46256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46256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46256</v>
      </c>
      <c r="F180" t="inlineStr">
        <is>
          <t>ÖSTERGÖTLANDS LÄN</t>
        </is>
      </c>
      <c r="G180" t="inlineStr">
        <is>
          <t>ÖDESHÖG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46256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46256</v>
      </c>
      <c r="F182" t="inlineStr">
        <is>
          <t>ÖSTERGÖTLANDS LÄN</t>
        </is>
      </c>
      <c r="G182" t="inlineStr">
        <is>
          <t>ÖDESHÖG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25975-2026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46256</v>
      </c>
      <c r="F183" t="inlineStr">
        <is>
          <t>ÖSTERGÖTLANDS LÄN</t>
        </is>
      </c>
      <c r="G183" t="inlineStr">
        <is>
          <t>ÖDESHÖG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46256</v>
      </c>
      <c r="F184" t="inlineStr">
        <is>
          <t>ÖSTERGÖTLANDS LÄN</t>
        </is>
      </c>
      <c r="G184" t="inlineStr">
        <is>
          <t>ÖDESHÖG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44992</v>
      </c>
      <c r="E185" s="1" t="n">
        <v>46256</v>
      </c>
      <c r="F185" t="inlineStr">
        <is>
          <t>ÖSTERGÖTLANDS LÄN</t>
        </is>
      </c>
      <c r="G185" t="inlineStr">
        <is>
          <t>ÖDESHÖG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46256</v>
      </c>
      <c r="F186" t="inlineStr">
        <is>
          <t>ÖSTERGÖTLANDS LÄN</t>
        </is>
      </c>
      <c r="G186" t="inlineStr">
        <is>
          <t>ÖDESHÖG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46256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45491</v>
      </c>
      <c r="E188" s="1" t="n">
        <v>46256</v>
      </c>
      <c r="F188" t="inlineStr">
        <is>
          <t>ÖSTERGÖTLANDS LÄN</t>
        </is>
      </c>
      <c r="G188" t="inlineStr">
        <is>
          <t>ÖDESHÖG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46256</v>
      </c>
      <c r="F189" t="inlineStr">
        <is>
          <t>ÖSTERGÖTLANDS LÄN</t>
        </is>
      </c>
      <c r="G189" t="inlineStr">
        <is>
          <t>ÖDESHÖG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46256</v>
      </c>
      <c r="F190" t="inlineStr">
        <is>
          <t>ÖSTERGÖTLANDS LÄN</t>
        </is>
      </c>
      <c r="G190" t="inlineStr">
        <is>
          <t>ÖDESHÖG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46256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22.7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46256</v>
      </c>
      <c r="F192" t="inlineStr">
        <is>
          <t>ÖSTERGÖTLANDS LÄN</t>
        </is>
      </c>
      <c r="G192" t="inlineStr">
        <is>
          <t>ÖDESHÖG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44796</v>
      </c>
      <c r="E193" s="1" t="n">
        <v>46256</v>
      </c>
      <c r="F193" t="inlineStr">
        <is>
          <t>ÖSTERGÖTLANDS LÄN</t>
        </is>
      </c>
      <c r="G193" t="inlineStr">
        <is>
          <t>ÖDESHÖG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46101</v>
      </c>
      <c r="E194" s="1" t="n">
        <v>46256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46256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45471</v>
      </c>
      <c r="E196" s="1" t="n">
        <v>46256</v>
      </c>
      <c r="F196" t="inlineStr">
        <is>
          <t>ÖSTERGÖTLANDS LÄN</t>
        </is>
      </c>
      <c r="G196" t="inlineStr">
        <is>
          <t>ÖDESHÖG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46256</v>
      </c>
      <c r="F197" t="inlineStr">
        <is>
          <t>ÖSTERGÖTLANDS LÄN</t>
        </is>
      </c>
      <c r="G197" t="inlineStr">
        <is>
          <t>ÖDESHÖG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39190-2023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45166</v>
      </c>
      <c r="E198" s="1" t="n">
        <v>46256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46256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46256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16402-2026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46256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46256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46256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46256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46256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46109</v>
      </c>
      <c r="E206" s="1" t="n">
        <v>46256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46109</v>
      </c>
      <c r="E207" s="1" t="n">
        <v>46256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46256</v>
      </c>
      <c r="F208" t="inlineStr">
        <is>
          <t>ÖSTERGÖTLANDS LÄN</t>
        </is>
      </c>
      <c r="G208" t="inlineStr">
        <is>
          <t>ÖDESHÖG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46256</v>
      </c>
      <c r="F209" t="inlineStr">
        <is>
          <t>ÖSTERGÖTLANDS LÄN</t>
        </is>
      </c>
      <c r="G209" t="inlineStr">
        <is>
          <t>ÖDESHÖG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46256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46256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46256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46256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46256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46206</v>
      </c>
      <c r="E215" s="1" t="n">
        <v>46256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Sveaskog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46256</v>
      </c>
      <c r="F216" t="inlineStr">
        <is>
          <t>ÖSTERGÖTLANDS LÄN</t>
        </is>
      </c>
      <c r="G216" t="inlineStr">
        <is>
          <t>ÖDESHÖG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44999</v>
      </c>
      <c r="E217" s="1" t="n">
        <v>46256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45692</v>
      </c>
      <c r="E218" s="1" t="n">
        <v>46256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46256</v>
      </c>
      <c r="F219" t="inlineStr">
        <is>
          <t>ÖSTERGÖTLANDS LÄN</t>
        </is>
      </c>
      <c r="G219" t="inlineStr">
        <is>
          <t>ÖDESHÖG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46256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45397</v>
      </c>
      <c r="E221" s="1" t="n">
        <v>46256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46256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45491</v>
      </c>
      <c r="E223" s="1" t="n">
        <v>46256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46024</v>
      </c>
      <c r="E224" s="1" t="n">
        <v>46256</v>
      </c>
      <c r="F224" t="inlineStr">
        <is>
          <t>ÖSTERGÖTLANDS LÄN</t>
        </is>
      </c>
      <c r="G224" t="inlineStr">
        <is>
          <t>ÖDESHÖG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46256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44709</v>
      </c>
      <c r="E226" s="1" t="n">
        <v>46256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46256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45014</v>
      </c>
      <c r="E228" s="1" t="n">
        <v>46256</v>
      </c>
      <c r="F228" t="inlineStr">
        <is>
          <t>ÖSTERGÖTLANDS LÄN</t>
        </is>
      </c>
      <c r="G228" t="inlineStr">
        <is>
          <t>ÖDESHÖG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46256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46256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46256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46256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46256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46256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46256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46256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46256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2026-08-22T01:46:29Z</dcterms:created>
  <dcterms:modified xmlns:dcterms="http://purl.org/dc/terms/" xmlns:xsi="http://www.w3.org/2001/XMLSchema-instance" xsi:type="dcterms:W3CDTF">2026-08-22T01:46:29Z</dcterms:modified>
</cp:coreProperties>
</file>