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46312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46312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46312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46312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46312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46312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46312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46312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46312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46312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46312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46312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46312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46312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46312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46312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46312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32776-2025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45839</v>
      </c>
      <c r="E21" s="1" t="n">
        <v>46312</v>
      </c>
      <c r="F21" t="inlineStr">
        <is>
          <t>ÖSTERGÖTLANDS LÄN</t>
        </is>
      </c>
      <c r="G21" t="inlineStr">
        <is>
          <t>ÖDESHÖG</t>
        </is>
      </c>
      <c r="I21" t="n">
        <v>1.3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Smalsprötad bastardsvärmare</t>
        </is>
      </c>
      <c r="W21">
        <f>HYPERLINK("https://klasma.github.io/Logging_0509/artfynd/A 32776-2025 artfynd.xlsx", "A 32776-2025")</f>
        <v/>
      </c>
      <c r="X21">
        <f>HYPERLINK("https://klasma.github.io/Logging_0509/kartor/A 32776-2025 karta.png", "A 32776-2025")</f>
        <v/>
      </c>
      <c r="Y21">
        <f>HYPERLINK("https://klasma.github.io/Logging_0509/kartor_geotiff/A 32776-2025 georefererad karta.tif", "A 32776-2025")</f>
        <v/>
      </c>
      <c r="AA21">
        <f>HYPERLINK("https://klasma.github.io/Logging_0509/klagomål/A 32776-2025 FSC-klagomål.docx", "A 32776-2025")</f>
        <v/>
      </c>
      <c r="AB21">
        <f>HYPERLINK("https://klasma.github.io/Logging_0509/klagomålsmail/A 32776-2025 FSC-klagomål mail.docx", "A 32776-2025")</f>
        <v/>
      </c>
      <c r="AC21">
        <f>HYPERLINK("https://klasma.github.io/Logging_0509/tillsyn/A 32776-2025 tillsynsbegäran.docx", "A 32776-2025")</f>
        <v/>
      </c>
      <c r="AD21">
        <f>HYPERLINK("https://klasma.github.io/Logging_0509/tillsynsmail/A 32776-2025 tillsynsbegäran mail.docx", "A 32776-2025")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46312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46312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46312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46312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46312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46312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46312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46312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46312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46312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46312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46312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46312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46312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46312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46312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46312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46312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46312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46312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46312</v>
      </c>
      <c r="F44" t="inlineStr">
        <is>
          <t>ÖSTERGÖTLANDS LÄN</t>
        </is>
      </c>
      <c r="G44" t="inlineStr">
        <is>
          <t>ÖDESHÖG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46312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46312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46312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46312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46312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46312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46312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46312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46312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46312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46312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46312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46312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46312</v>
      </c>
      <c r="F58" t="inlineStr">
        <is>
          <t>ÖSTERGÖTLANDS LÄN</t>
        </is>
      </c>
      <c r="G58" t="inlineStr">
        <is>
          <t>ÖDESHÖG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46312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46312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46312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46312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46312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46312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46312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46312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45407</v>
      </c>
      <c r="E67" s="1" t="n">
        <v>46312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46312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46312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46312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46312</v>
      </c>
      <c r="F71" t="inlineStr">
        <is>
          <t>ÖSTERGÖTLANDS LÄN</t>
        </is>
      </c>
      <c r="G71" t="inlineStr">
        <is>
          <t>ÖDESHÖG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46312</v>
      </c>
      <c r="F72" t="inlineStr">
        <is>
          <t>ÖSTERGÖTLANDS LÄN</t>
        </is>
      </c>
      <c r="G72" t="inlineStr">
        <is>
          <t>ÖDESHÖG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46312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46312</v>
      </c>
      <c r="F74" t="inlineStr">
        <is>
          <t>ÖSTERGÖTLANDS LÄN</t>
        </is>
      </c>
      <c r="G74" t="inlineStr">
        <is>
          <t>ÖDESHÖG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61880-2021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46312</v>
      </c>
      <c r="F75" t="inlineStr">
        <is>
          <t>ÖSTERGÖTLANDS LÄN</t>
        </is>
      </c>
      <c r="G75" t="inlineStr">
        <is>
          <t>ÖDESHÖG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46312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46312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46312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46312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45692</v>
      </c>
      <c r="E80" s="1" t="n">
        <v>46312</v>
      </c>
      <c r="F80" t="inlineStr">
        <is>
          <t>ÖSTERGÖTLANDS LÄN</t>
        </is>
      </c>
      <c r="G80" t="inlineStr">
        <is>
          <t>ÖDESHÖG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46312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46312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45678</v>
      </c>
      <c r="E83" s="1" t="n">
        <v>46312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46312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15915-2024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46312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46312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46312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46024</v>
      </c>
      <c r="E88" s="1" t="n">
        <v>46312</v>
      </c>
      <c r="F88" t="inlineStr">
        <is>
          <t>ÖSTERGÖTLANDS LÄN</t>
        </is>
      </c>
      <c r="G88" t="inlineStr">
        <is>
          <t>ÖDESHÖG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46312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46312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46312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46312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46312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46312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46312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46312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46312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46312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46312</v>
      </c>
      <c r="F99" t="inlineStr">
        <is>
          <t>ÖSTERGÖTLANDS LÄN</t>
        </is>
      </c>
      <c r="G99" t="inlineStr">
        <is>
          <t>ÖDESHÖG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46312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46312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46312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45412</v>
      </c>
      <c r="E103" s="1" t="n">
        <v>46312</v>
      </c>
      <c r="F103" t="inlineStr">
        <is>
          <t>ÖSTERGÖTLANDS LÄN</t>
        </is>
      </c>
      <c r="G103" t="inlineStr">
        <is>
          <t>ÖDESHÖG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46312</v>
      </c>
      <c r="F104" t="inlineStr">
        <is>
          <t>ÖSTERGÖTLANDS LÄN</t>
        </is>
      </c>
      <c r="G104" t="inlineStr">
        <is>
          <t>ÖDESHÖG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46312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46312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46312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46312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45065</v>
      </c>
      <c r="E109" s="1" t="n">
        <v>46312</v>
      </c>
      <c r="F109" t="inlineStr">
        <is>
          <t>ÖSTERGÖTLANDS LÄN</t>
        </is>
      </c>
      <c r="G109" t="inlineStr">
        <is>
          <t>ÖDESHÖG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64802-2021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44512</v>
      </c>
      <c r="E110" s="1" t="n">
        <v>46312</v>
      </c>
      <c r="F110" t="inlineStr">
        <is>
          <t>ÖSTERGÖTLANDS LÄN</t>
        </is>
      </c>
      <c r="G110" t="inlineStr">
        <is>
          <t>ÖDESHÖG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46312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46312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46312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46312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46312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46312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46312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46312</v>
      </c>
      <c r="F118" t="inlineStr">
        <is>
          <t>ÖSTERGÖTLANDS LÄN</t>
        </is>
      </c>
      <c r="G118" t="inlineStr">
        <is>
          <t>ÖDESHÖG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46312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61011-2024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45645</v>
      </c>
      <c r="E120" s="1" t="n">
        <v>46312</v>
      </c>
      <c r="F120" t="inlineStr">
        <is>
          <t>ÖSTERGÖTLANDS LÄN</t>
        </is>
      </c>
      <c r="G120" t="inlineStr">
        <is>
          <t>ÖDESHÖG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45048</v>
      </c>
      <c r="E121" s="1" t="n">
        <v>46312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46312</v>
      </c>
      <c r="F122" t="inlineStr">
        <is>
          <t>ÖSTERGÖTLANDS LÄN</t>
        </is>
      </c>
      <c r="G122" t="inlineStr">
        <is>
          <t>ÖDESHÖG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46312</v>
      </c>
      <c r="F123" t="inlineStr">
        <is>
          <t>ÖSTERGÖTLANDS LÄN</t>
        </is>
      </c>
      <c r="G123" t="inlineStr">
        <is>
          <t>ÖDESHÖG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46312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45027</v>
      </c>
      <c r="E125" s="1" t="n">
        <v>46312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46312</v>
      </c>
      <c r="F126" t="inlineStr">
        <is>
          <t>ÖSTERGÖTLANDS LÄN</t>
        </is>
      </c>
      <c r="G126" t="inlineStr">
        <is>
          <t>ÖDESHÖG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46312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46312</v>
      </c>
      <c r="F128" t="inlineStr">
        <is>
          <t>ÖSTERGÖTLANDS LÄN</t>
        </is>
      </c>
      <c r="G128" t="inlineStr">
        <is>
          <t>ÖDESHÖG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46312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46312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46312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46312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46312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46312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46312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46312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46312</v>
      </c>
      <c r="F137" t="inlineStr">
        <is>
          <t>ÖSTERGÖTLANDS LÄN</t>
        </is>
      </c>
      <c r="G137" t="inlineStr">
        <is>
          <t>ÖDESHÖG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44658</v>
      </c>
      <c r="E138" s="1" t="n">
        <v>46312</v>
      </c>
      <c r="F138" t="inlineStr">
        <is>
          <t>ÖSTERGÖTLANDS LÄN</t>
        </is>
      </c>
      <c r="G138" t="inlineStr">
        <is>
          <t>ÖDESHÖG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46312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46312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46312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45160</v>
      </c>
      <c r="E142" s="1" t="n">
        <v>46312</v>
      </c>
      <c r="F142" t="inlineStr">
        <is>
          <t>ÖSTERGÖTLANDS LÄN</t>
        </is>
      </c>
      <c r="G142" t="inlineStr">
        <is>
          <t>ÖDESHÖG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46312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46312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46312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46312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46312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46312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46312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46312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46312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46312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46312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46312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46312</v>
      </c>
      <c r="F155" t="inlineStr">
        <is>
          <t>ÖSTERGÖTLANDS LÄN</t>
        </is>
      </c>
      <c r="G155" t="inlineStr">
        <is>
          <t>ÖDESHÖG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46312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46312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46312</v>
      </c>
      <c r="F158" t="inlineStr">
        <is>
          <t>ÖSTERGÖTLANDS LÄN</t>
        </is>
      </c>
      <c r="G158" t="inlineStr">
        <is>
          <t>ÖDESHÖG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46312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46312</v>
      </c>
      <c r="F160" t="inlineStr">
        <is>
          <t>ÖSTERGÖTLANDS LÄN</t>
        </is>
      </c>
      <c r="G160" t="inlineStr">
        <is>
          <t>ÖDESHÖG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46312</v>
      </c>
      <c r="F161" t="inlineStr">
        <is>
          <t>ÖSTERGÖTLANDS LÄN</t>
        </is>
      </c>
      <c r="G161" t="inlineStr">
        <is>
          <t>ÖDESHÖG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46312</v>
      </c>
      <c r="F162" t="inlineStr">
        <is>
          <t>ÖSTERGÖTLANDS LÄN</t>
        </is>
      </c>
      <c r="G162" t="inlineStr">
        <is>
          <t>ÖDESHÖG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46312</v>
      </c>
      <c r="F163" t="inlineStr">
        <is>
          <t>ÖSTERGÖTLANDS LÄN</t>
        </is>
      </c>
      <c r="G163" t="inlineStr">
        <is>
          <t>ÖDESHÖG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46312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46312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46312</v>
      </c>
      <c r="F166" t="inlineStr">
        <is>
          <t>ÖSTERGÖTLANDS LÄN</t>
        </is>
      </c>
      <c r="G166" t="inlineStr">
        <is>
          <t>ÖDESHÖG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46312</v>
      </c>
      <c r="F167" t="inlineStr">
        <is>
          <t>ÖSTERGÖTLANDS LÄN</t>
        </is>
      </c>
      <c r="G167" t="inlineStr">
        <is>
          <t>ÖDESHÖG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46312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46312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46312</v>
      </c>
      <c r="F170" t="inlineStr">
        <is>
          <t>ÖSTERGÖTLANDS LÄN</t>
        </is>
      </c>
      <c r="G170" t="inlineStr">
        <is>
          <t>ÖDESHÖG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46312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46312</v>
      </c>
      <c r="F172" t="inlineStr">
        <is>
          <t>ÖSTERGÖTLANDS LÄN</t>
        </is>
      </c>
      <c r="G172" t="inlineStr">
        <is>
          <t>ÖDESHÖG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46312</v>
      </c>
      <c r="F173" t="inlineStr">
        <is>
          <t>ÖSTERGÖTLANDS LÄN</t>
        </is>
      </c>
      <c r="G173" t="inlineStr">
        <is>
          <t>ÖDESHÖG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46312</v>
      </c>
      <c r="F174" t="inlineStr">
        <is>
          <t>ÖSTERGÖTLANDS LÄN</t>
        </is>
      </c>
      <c r="G174" t="inlineStr">
        <is>
          <t>ÖDESHÖG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45405</v>
      </c>
      <c r="E175" s="1" t="n">
        <v>46312</v>
      </c>
      <c r="F175" t="inlineStr">
        <is>
          <t>ÖSTERGÖTLANDS LÄN</t>
        </is>
      </c>
      <c r="G175" t="inlineStr">
        <is>
          <t>ÖDESHÖG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46312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46312</v>
      </c>
      <c r="F177" t="inlineStr">
        <is>
          <t>ÖSTERGÖTLANDS LÄN</t>
        </is>
      </c>
      <c r="G177" t="inlineStr">
        <is>
          <t>ÖDESHÖG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46312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46312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46312</v>
      </c>
      <c r="F180" t="inlineStr">
        <is>
          <t>ÖSTERGÖTLANDS LÄN</t>
        </is>
      </c>
      <c r="G180" t="inlineStr">
        <is>
          <t>ÖDESHÖG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46312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46312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46312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46312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46312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46199</v>
      </c>
      <c r="E186" s="1" t="n">
        <v>46312</v>
      </c>
      <c r="F186" t="inlineStr">
        <is>
          <t>ÖSTERGÖTLANDS LÄN</t>
        </is>
      </c>
      <c r="G186" t="inlineStr">
        <is>
          <t>ÖDESHÖG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46109</v>
      </c>
      <c r="E187" s="1" t="n">
        <v>46312</v>
      </c>
      <c r="F187" t="inlineStr">
        <is>
          <t>ÖSTERGÖTLANDS LÄN</t>
        </is>
      </c>
      <c r="G187" t="inlineStr">
        <is>
          <t>ÖDESHÖG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46109</v>
      </c>
      <c r="E188" s="1" t="n">
        <v>46312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46312</v>
      </c>
      <c r="F189" t="inlineStr">
        <is>
          <t>ÖSTERGÖTLANDS LÄN</t>
        </is>
      </c>
      <c r="G189" t="inlineStr">
        <is>
          <t>ÖDESHÖG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44858</v>
      </c>
      <c r="E190" s="1" t="n">
        <v>46312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46312</v>
      </c>
      <c r="F191" t="inlineStr">
        <is>
          <t>ÖSTERGÖTLANDS LÄN</t>
        </is>
      </c>
      <c r="G191" t="inlineStr">
        <is>
          <t>ÖDESHÖG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46312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11193-2023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44992</v>
      </c>
      <c r="E193" s="1" t="n">
        <v>46312</v>
      </c>
      <c r="F193" t="inlineStr">
        <is>
          <t>ÖSTERGÖTLANDS LÄN</t>
        </is>
      </c>
      <c r="G193" t="inlineStr">
        <is>
          <t>ÖDESHÖG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46312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45491</v>
      </c>
      <c r="E195" s="1" t="n">
        <v>46312</v>
      </c>
      <c r="F195" t="inlineStr">
        <is>
          <t>ÖSTERGÖTLANDS LÄN</t>
        </is>
      </c>
      <c r="G195" t="inlineStr">
        <is>
          <t>ÖDESHÖG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46312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46312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46312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45944</v>
      </c>
      <c r="E199" s="1" t="n">
        <v>46312</v>
      </c>
      <c r="F199" t="inlineStr">
        <is>
          <t>ÖSTERGÖTLANDS LÄN</t>
        </is>
      </c>
      <c r="G199" t="inlineStr">
        <is>
          <t>ÖDESHÖG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46312</v>
      </c>
      <c r="F200" t="inlineStr">
        <is>
          <t>ÖSTERGÖTLANDS LÄN</t>
        </is>
      </c>
      <c r="G200" t="inlineStr">
        <is>
          <t>ÖDESHÖG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46312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46312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46312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46312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46312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46312</v>
      </c>
      <c r="F206" t="inlineStr">
        <is>
          <t>ÖSTERGÖTLANDS LÄN</t>
        </is>
      </c>
      <c r="G206" t="inlineStr">
        <is>
          <t>ÖDESHÖG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46312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46312</v>
      </c>
      <c r="F208" t="inlineStr">
        <is>
          <t>ÖSTERGÖTLANDS LÄN</t>
        </is>
      </c>
      <c r="G208" t="inlineStr">
        <is>
          <t>ÖDESHÖG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46312</v>
      </c>
      <c r="F209" t="inlineStr">
        <is>
          <t>ÖSTERGÖTLANDS LÄN</t>
        </is>
      </c>
      <c r="G209" t="inlineStr">
        <is>
          <t>ÖDESHÖG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46312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46312</v>
      </c>
      <c r="F211" t="inlineStr">
        <is>
          <t>ÖSTERGÖTLANDS LÄN</t>
        </is>
      </c>
      <c r="G211" t="inlineStr">
        <is>
          <t>ÖDESHÖG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46312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46312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46312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46312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46312</v>
      </c>
      <c r="F216" t="inlineStr">
        <is>
          <t>ÖSTERGÖTLANDS LÄN</t>
        </is>
      </c>
      <c r="G216" t="inlineStr">
        <is>
          <t>ÖDESHÖG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46312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14736-2024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45397</v>
      </c>
      <c r="E218" s="1" t="n">
        <v>46312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46312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46312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45491</v>
      </c>
      <c r="E221" s="1" t="n">
        <v>46312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46289</v>
      </c>
      <c r="E222" s="1" t="n">
        <v>46312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46312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44546</v>
      </c>
      <c r="E224" s="1" t="n">
        <v>46312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46312</v>
      </c>
      <c r="F225" t="inlineStr">
        <is>
          <t>ÖSTERGÖTLANDS LÄN</t>
        </is>
      </c>
      <c r="G225" t="inlineStr">
        <is>
          <t>ÖDESHÖG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46312</v>
      </c>
      <c r="F226" t="inlineStr">
        <is>
          <t>ÖSTERGÖTLANDS LÄN</t>
        </is>
      </c>
      <c r="G226" t="inlineStr">
        <is>
          <t>ÖDESHÖG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46312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46312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46312</v>
      </c>
      <c r="F229" t="inlineStr">
        <is>
          <t>ÖSTERGÖTLANDS LÄN</t>
        </is>
      </c>
      <c r="G229" t="inlineStr">
        <is>
          <t>ÖDESHÖG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46312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46312</v>
      </c>
      <c r="F231" t="inlineStr">
        <is>
          <t>ÖSTERGÖTLANDS LÄN</t>
        </is>
      </c>
      <c r="G231" t="inlineStr">
        <is>
          <t>ÖDESHÖG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46306</v>
      </c>
      <c r="E232" s="1" t="n">
        <v>46312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46312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46312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46311</v>
      </c>
      <c r="E235" s="1" t="n">
        <v>46312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46312</v>
      </c>
      <c r="F236" t="inlineStr">
        <is>
          <t>ÖSTERGÖTLANDS LÄN</t>
        </is>
      </c>
      <c r="G236" t="inlineStr">
        <is>
          <t>ÖDESHÖG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46312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46312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46312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46312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2026-10-17T02:04:37Z</dcterms:created>
  <dcterms:modified xmlns:dcterms="http://purl.org/dc/terms/" xmlns:xsi="http://www.w3.org/2001/XMLSchema-instance" xsi:type="dcterms:W3CDTF">2026-10-17T02:04:37Z</dcterms:modified>
</cp:coreProperties>
</file>