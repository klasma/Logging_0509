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46275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46275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46275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46275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46275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46275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46275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62988-2023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46275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19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Skogsalm</t>
        </is>
      </c>
      <c r="W11">
        <f>HYPERLINK("https://klasma.github.io/Logging_0509/artfynd/A 62988-2023 artfynd.xlsx", "A 62988-2023")</f>
        <v/>
      </c>
      <c r="X11">
        <f>HYPERLINK("https://klasma.github.io/Logging_0509/kartor/A 62988-2023 karta.png", "A 62988-2023")</f>
        <v/>
      </c>
      <c r="Y11">
        <f>HYPERLINK("https://klasma.github.io/Logging_0509/kartor_geotiff/A 62988-2023 georefererad karta.tif", "A 62988-2023")</f>
        <v/>
      </c>
      <c r="AA11">
        <f>HYPERLINK("https://klasma.github.io/Logging_0509/klagomål/A 62988-2023 FSC-klagomål.docx", "A 62988-2023")</f>
        <v/>
      </c>
      <c r="AB11">
        <f>HYPERLINK("https://klasma.github.io/Logging_0509/klagomålsmail/A 62988-2023 FSC-klagomål mail.docx", "A 62988-2023")</f>
        <v/>
      </c>
      <c r="AC11">
        <f>HYPERLINK("https://klasma.github.io/Logging_0509/tillsyn/A 62988-2023 tillsynsbegäran.docx", "A 62988-2023")</f>
        <v/>
      </c>
      <c r="AD11">
        <f>HYPERLINK("https://klasma.github.io/Logging_0509/tillsynsmail/A 62988-2023 tillsynsbegäran mail.docx", "A 62988-2023")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46275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46275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46275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46275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32776-2025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45839</v>
      </c>
      <c r="E16" s="1" t="n">
        <v>46275</v>
      </c>
      <c r="F16" t="inlineStr">
        <is>
          <t>ÖSTERGÖTLANDS LÄN</t>
        </is>
      </c>
      <c r="G16" t="inlineStr">
        <is>
          <t>ÖDESHÖG</t>
        </is>
      </c>
      <c r="I16" t="n">
        <v>1.3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Smalsprötad bastardsvärmare</t>
        </is>
      </c>
      <c r="W16">
        <f>HYPERLINK("https://klasma.github.io/Logging_0509/artfynd/A 32776-2025 artfynd.xlsx", "A 32776-2025")</f>
        <v/>
      </c>
      <c r="X16">
        <f>HYPERLINK("https://klasma.github.io/Logging_0509/kartor/A 32776-2025 karta.png", "A 32776-2025")</f>
        <v/>
      </c>
      <c r="Y16">
        <f>HYPERLINK("https://klasma.github.io/Logging_0509/kartor_geotiff/A 32776-2025 georefererad karta.tif", "A 32776-2025")</f>
        <v/>
      </c>
      <c r="AA16">
        <f>HYPERLINK("https://klasma.github.io/Logging_0509/klagomål/A 32776-2025 FSC-klagomål.docx", "A 32776-2025")</f>
        <v/>
      </c>
      <c r="AB16">
        <f>HYPERLINK("https://klasma.github.io/Logging_0509/klagomålsmail/A 32776-2025 FSC-klagomål mail.docx", "A 32776-2025")</f>
        <v/>
      </c>
      <c r="AC16">
        <f>HYPERLINK("https://klasma.github.io/Logging_0509/tillsyn/A 32776-2025 tillsynsbegäran.docx", "A 32776-2025")</f>
        <v/>
      </c>
      <c r="AD16">
        <f>HYPERLINK("https://klasma.github.io/Logging_0509/tillsynsmail/A 32776-2025 tillsynsbegäran mail.docx", "A 32776-2025")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46275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46275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HYPERLINK("https://klasma.github.io/Logging_0509/artfynd/A 50774-2023 artfynd.xlsx", "A 50774-2023")</f>
        <v/>
      </c>
      <c r="X18">
        <f>HYPERLINK("https://klasma.github.io/Logging_0509/kartor/A 50774-2023 karta.png", "A 50774-2023")</f>
        <v/>
      </c>
      <c r="Y18">
        <f>HYPERLINK("https://klasma.github.io/Logging_0509/kartor_geotiff/A 50774-2023 georefererad karta.tif", "A 50774-2023")</f>
        <v/>
      </c>
      <c r="AA18">
        <f>HYPERLINK("https://klasma.github.io/Logging_0509/klagomål/A 50774-2023 FSC-klagomål.docx", "A 50774-2023")</f>
        <v/>
      </c>
      <c r="AB18">
        <f>HYPERLINK("https://klasma.github.io/Logging_0509/klagomålsmail/A 50774-2023 FSC-klagomål mail.docx", "A 50774-2023")</f>
        <v/>
      </c>
      <c r="AC18">
        <f>HYPERLINK("https://klasma.github.io/Logging_0509/tillsyn/A 50774-2023 tillsynsbegäran.docx", "A 50774-2023")</f>
        <v/>
      </c>
      <c r="AD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46275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46275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46275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46275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62919-2021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46275</v>
      </c>
      <c r="F23" t="inlineStr">
        <is>
          <t>ÖSTERGÖTLANDS LÄN</t>
        </is>
      </c>
      <c r="G23" t="inlineStr">
        <is>
          <t>ÖDESHÖG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46275</v>
      </c>
      <c r="F24" t="inlineStr">
        <is>
          <t>ÖSTERGÖTLANDS LÄN</t>
        </is>
      </c>
      <c r="G24" t="inlineStr">
        <is>
          <t>ÖDESHÖG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46275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64622-2021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44511</v>
      </c>
      <c r="E26" s="1" t="n">
        <v>46275</v>
      </c>
      <c r="F26" t="inlineStr">
        <is>
          <t>ÖSTERGÖTLANDS LÄN</t>
        </is>
      </c>
      <c r="G26" t="inlineStr">
        <is>
          <t>ÖDESHÖG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46275</v>
      </c>
      <c r="F27" t="inlineStr">
        <is>
          <t>ÖSTERGÖTLANDS LÄN</t>
        </is>
      </c>
      <c r="G27" t="inlineStr">
        <is>
          <t>ÖDESHÖG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46275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46275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46275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46275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46275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39032-2023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46275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14993-2023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46275</v>
      </c>
      <c r="F34" t="inlineStr">
        <is>
          <t>ÖSTERGÖTLANDS LÄN</t>
        </is>
      </c>
      <c r="G34" t="inlineStr">
        <is>
          <t>ÖDESHÖG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34979-2022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44796</v>
      </c>
      <c r="E35" s="1" t="n">
        <v>46275</v>
      </c>
      <c r="F35" t="inlineStr">
        <is>
          <t>ÖSTERGÖTLANDS LÄN</t>
        </is>
      </c>
      <c r="G35" t="inlineStr">
        <is>
          <t>ÖDESHÖG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46275</v>
      </c>
      <c r="F36" t="inlineStr">
        <is>
          <t>ÖSTERGÖTLANDS LÄN</t>
        </is>
      </c>
      <c r="G36" t="inlineStr">
        <is>
          <t>ÖDESHÖG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46275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45707</v>
      </c>
      <c r="E38" s="1" t="n">
        <v>46275</v>
      </c>
      <c r="F38" t="inlineStr">
        <is>
          <t>ÖSTERGÖTLANDS LÄN</t>
        </is>
      </c>
      <c r="G38" t="inlineStr">
        <is>
          <t>ÖDESHÖG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46275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46275</v>
      </c>
      <c r="F40" t="inlineStr">
        <is>
          <t>ÖSTERGÖTLANDS LÄN</t>
        </is>
      </c>
      <c r="G40" t="inlineStr">
        <is>
          <t>ÖDESHÖG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15906-2024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45405</v>
      </c>
      <c r="E41" s="1" t="n">
        <v>46275</v>
      </c>
      <c r="F41" t="inlineStr">
        <is>
          <t>ÖSTERGÖTLANDS LÄN</t>
        </is>
      </c>
      <c r="G41" t="inlineStr">
        <is>
          <t>ÖDESHÖG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46275</v>
      </c>
      <c r="F42" t="inlineStr">
        <is>
          <t>ÖSTERGÖTLANDS LÄN</t>
        </is>
      </c>
      <c r="G42" t="inlineStr">
        <is>
          <t>ÖDESHÖG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38723-2023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46275</v>
      </c>
      <c r="F43" t="inlineStr">
        <is>
          <t>ÖSTERGÖTLANDS LÄN</t>
        </is>
      </c>
      <c r="G43" t="inlineStr">
        <is>
          <t>ÖDESHÖG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45678</v>
      </c>
      <c r="E44" s="1" t="n">
        <v>46275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18.6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45750</v>
      </c>
      <c r="E45" s="1" t="n">
        <v>46275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46275</v>
      </c>
      <c r="F46" t="inlineStr">
        <is>
          <t>ÖSTERGÖTLANDS LÄN</t>
        </is>
      </c>
      <c r="G46" t="inlineStr">
        <is>
          <t>ÖDESHÖG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46275</v>
      </c>
      <c r="F47" t="inlineStr">
        <is>
          <t>ÖSTERGÖTLANDS LÄN</t>
        </is>
      </c>
      <c r="G47" t="inlineStr">
        <is>
          <t>ÖDESHÖG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46275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46275</v>
      </c>
      <c r="F49" t="inlineStr">
        <is>
          <t>ÖSTERGÖTLANDS LÄN</t>
        </is>
      </c>
      <c r="G49" t="inlineStr">
        <is>
          <t>ÖDESHÖG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46275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46275</v>
      </c>
      <c r="F51" t="inlineStr">
        <is>
          <t>ÖSTERGÖTLANDS LÄN</t>
        </is>
      </c>
      <c r="G51" t="inlineStr">
        <is>
          <t>ÖDESHÖG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46275</v>
      </c>
      <c r="F52" t="inlineStr">
        <is>
          <t>ÖSTERGÖTLANDS LÄN</t>
        </is>
      </c>
      <c r="G52" t="inlineStr">
        <is>
          <t>ÖDESHÖG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46275</v>
      </c>
      <c r="F53" t="inlineStr">
        <is>
          <t>ÖSTERGÖTLANDS LÄN</t>
        </is>
      </c>
      <c r="G53" t="inlineStr">
        <is>
          <t>ÖDESHÖG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46275</v>
      </c>
      <c r="F54" t="inlineStr">
        <is>
          <t>ÖSTERGÖTLANDS LÄN</t>
        </is>
      </c>
      <c r="G54" t="inlineStr">
        <is>
          <t>ÖDESHÖG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48325-2022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44858</v>
      </c>
      <c r="E55" s="1" t="n">
        <v>46275</v>
      </c>
      <c r="F55" t="inlineStr">
        <is>
          <t>ÖSTERGÖTLANDS LÄN</t>
        </is>
      </c>
      <c r="G55" t="inlineStr">
        <is>
          <t>ÖDESHÖG</t>
        </is>
      </c>
      <c r="H55" t="inlineStr">
        <is>
          <t>Allmännings- och besparingsskogar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45589</v>
      </c>
      <c r="E56" s="1" t="n">
        <v>46275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64802-2021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44512</v>
      </c>
      <c r="E57" s="1" t="n">
        <v>46275</v>
      </c>
      <c r="F57" t="inlineStr">
        <is>
          <t>ÖSTERGÖTLANDS LÄN</t>
        </is>
      </c>
      <c r="G57" t="inlineStr">
        <is>
          <t>ÖDESHÖG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46275</v>
      </c>
      <c r="F58" t="inlineStr">
        <is>
          <t>ÖSTERGÖTLANDS LÄN</t>
        </is>
      </c>
      <c r="G58" t="inlineStr">
        <is>
          <t>ÖDESHÖG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46275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46275</v>
      </c>
      <c r="F60" t="inlineStr">
        <is>
          <t>ÖSTERGÖTLANDS LÄN</t>
        </is>
      </c>
      <c r="G60" t="inlineStr">
        <is>
          <t>ÖDESHÖG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56841-2022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46275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45084</v>
      </c>
      <c r="E62" s="1" t="n">
        <v>46275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46275</v>
      </c>
      <c r="F63" t="inlineStr">
        <is>
          <t>ÖSTERGÖTLANDS LÄN</t>
        </is>
      </c>
      <c r="G63" t="inlineStr">
        <is>
          <t>ÖDESHÖG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46275</v>
      </c>
      <c r="F64" t="inlineStr">
        <is>
          <t>ÖSTERGÖTLANDS LÄN</t>
        </is>
      </c>
      <c r="G64" t="inlineStr">
        <is>
          <t>ÖDESHÖG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46275</v>
      </c>
      <c r="F65" t="inlineStr">
        <is>
          <t>ÖSTERGÖTLANDS LÄN</t>
        </is>
      </c>
      <c r="G65" t="inlineStr">
        <is>
          <t>ÖDESHÖG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44936</v>
      </c>
      <c r="E66" s="1" t="n">
        <v>46275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45512</v>
      </c>
      <c r="E67" s="1" t="n">
        <v>46275</v>
      </c>
      <c r="F67" t="inlineStr">
        <is>
          <t>ÖSTERGÖTLANDS LÄN</t>
        </is>
      </c>
      <c r="G67" t="inlineStr">
        <is>
          <t>ÖDESHÖG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35380-2023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46275</v>
      </c>
      <c r="F68" t="inlineStr">
        <is>
          <t>ÖSTERGÖTLANDS LÄN</t>
        </is>
      </c>
      <c r="G68" t="inlineStr">
        <is>
          <t>ÖDESHÖG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30964-2023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46275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10335-2022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44623</v>
      </c>
      <c r="E70" s="1" t="n">
        <v>46275</v>
      </c>
      <c r="F70" t="inlineStr">
        <is>
          <t>ÖSTERGÖTLANDS LÄN</t>
        </is>
      </c>
      <c r="G70" t="inlineStr">
        <is>
          <t>ÖDESHÖG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45065</v>
      </c>
      <c r="E71" s="1" t="n">
        <v>46275</v>
      </c>
      <c r="F71" t="inlineStr">
        <is>
          <t>ÖSTERGÖTLANDS LÄN</t>
        </is>
      </c>
      <c r="G71" t="inlineStr">
        <is>
          <t>ÖDESHÖG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45491</v>
      </c>
      <c r="E72" s="1" t="n">
        <v>46275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46275</v>
      </c>
      <c r="F73" t="inlineStr">
        <is>
          <t>ÖSTERGÖTLANDS LÄN</t>
        </is>
      </c>
      <c r="G73" t="inlineStr">
        <is>
          <t>ÖDESHÖG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45049</v>
      </c>
      <c r="E74" s="1" t="n">
        <v>46275</v>
      </c>
      <c r="F74" t="inlineStr">
        <is>
          <t>ÖSTERGÖTLANDS LÄN</t>
        </is>
      </c>
      <c r="G74" t="inlineStr">
        <is>
          <t>ÖDESHÖG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47597-2023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45203</v>
      </c>
      <c r="E75" s="1" t="n">
        <v>46275</v>
      </c>
      <c r="F75" t="inlineStr">
        <is>
          <t>ÖSTERGÖTLANDS LÄN</t>
        </is>
      </c>
      <c r="G75" t="inlineStr">
        <is>
          <t>ÖDESHÖG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15907-2024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45405</v>
      </c>
      <c r="E76" s="1" t="n">
        <v>46275</v>
      </c>
      <c r="F76" t="inlineStr">
        <is>
          <t>ÖSTERGÖTLANDS LÄN</t>
        </is>
      </c>
      <c r="G76" t="inlineStr">
        <is>
          <t>ÖDESHÖG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15915-2024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45405</v>
      </c>
      <c r="E77" s="1" t="n">
        <v>46275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46275</v>
      </c>
      <c r="F78" t="inlineStr">
        <is>
          <t>ÖSTERGÖTLANDS LÄN</t>
        </is>
      </c>
      <c r="G78" t="inlineStr">
        <is>
          <t>ÖDESHÖG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46275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45693</v>
      </c>
      <c r="E80" s="1" t="n">
        <v>46275</v>
      </c>
      <c r="F80" t="inlineStr">
        <is>
          <t>ÖSTERGÖTLANDS LÄN</t>
        </is>
      </c>
      <c r="G80" t="inlineStr">
        <is>
          <t>ÖDESHÖG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15813-2022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44664</v>
      </c>
      <c r="E81" s="1" t="n">
        <v>46275</v>
      </c>
      <c r="F81" t="inlineStr">
        <is>
          <t>ÖSTERGÖTLANDS LÄN</t>
        </is>
      </c>
      <c r="G81" t="inlineStr">
        <is>
          <t>ÖDESHÖG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46275</v>
      </c>
      <c r="F82" t="inlineStr">
        <is>
          <t>ÖSTERGÖTLANDS LÄN</t>
        </is>
      </c>
      <c r="G82" t="inlineStr">
        <is>
          <t>ÖDESHÖG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45416</v>
      </c>
      <c r="E83" s="1" t="n">
        <v>46275</v>
      </c>
      <c r="F83" t="inlineStr">
        <is>
          <t>ÖSTERGÖTLANDS LÄN</t>
        </is>
      </c>
      <c r="G83" t="inlineStr">
        <is>
          <t>ÖDESHÖG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46275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45331</v>
      </c>
      <c r="E85" s="1" t="n">
        <v>46275</v>
      </c>
      <c r="F85" t="inlineStr">
        <is>
          <t>ÖSTERGÖTLANDS LÄN</t>
        </is>
      </c>
      <c r="G85" t="inlineStr">
        <is>
          <t>ÖDESHÖG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45014</v>
      </c>
      <c r="E86" s="1" t="n">
        <v>46275</v>
      </c>
      <c r="F86" t="inlineStr">
        <is>
          <t>ÖSTERGÖTLANDS LÄN</t>
        </is>
      </c>
      <c r="G86" t="inlineStr">
        <is>
          <t>ÖDESHÖG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14156-2023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45009</v>
      </c>
      <c r="E87" s="1" t="n">
        <v>46275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45065</v>
      </c>
      <c r="E88" s="1" t="n">
        <v>46275</v>
      </c>
      <c r="F88" t="inlineStr">
        <is>
          <t>ÖSTERGÖTLANDS LÄN</t>
        </is>
      </c>
      <c r="G88" t="inlineStr">
        <is>
          <t>ÖDESHÖG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45188</v>
      </c>
      <c r="E89" s="1" t="n">
        <v>46275</v>
      </c>
      <c r="F89" t="inlineStr">
        <is>
          <t>ÖSTERGÖTLANDS LÄN</t>
        </is>
      </c>
      <c r="G89" t="inlineStr">
        <is>
          <t>ÖDESHÖG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46275</v>
      </c>
      <c r="F90" t="inlineStr">
        <is>
          <t>ÖSTERGÖTLANDS LÄN</t>
        </is>
      </c>
      <c r="G90" t="inlineStr">
        <is>
          <t>ÖDESHÖG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46275</v>
      </c>
      <c r="F91" t="inlineStr">
        <is>
          <t>ÖSTERGÖTLANDS LÄN</t>
        </is>
      </c>
      <c r="G91" t="inlineStr">
        <is>
          <t>ÖDESHÖG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46275</v>
      </c>
      <c r="F92" t="inlineStr">
        <is>
          <t>ÖSTERGÖTLANDS LÄN</t>
        </is>
      </c>
      <c r="G92" t="inlineStr">
        <is>
          <t>ÖDESHÖG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45316</v>
      </c>
      <c r="E93" s="1" t="n">
        <v>46275</v>
      </c>
      <c r="F93" t="inlineStr">
        <is>
          <t>ÖSTERGÖTLANDS LÄN</t>
        </is>
      </c>
      <c r="G93" t="inlineStr">
        <is>
          <t>ÖDESHÖG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8256-2023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44974</v>
      </c>
      <c r="E94" s="1" t="n">
        <v>46275</v>
      </c>
      <c r="F94" t="inlineStr">
        <is>
          <t>ÖSTERGÖTLANDS LÄN</t>
        </is>
      </c>
      <c r="G94" t="inlineStr">
        <is>
          <t>ÖDESHÖG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45407</v>
      </c>
      <c r="E95" s="1" t="n">
        <v>46275</v>
      </c>
      <c r="F95" t="inlineStr">
        <is>
          <t>ÖSTERGÖTLANDS LÄN</t>
        </is>
      </c>
      <c r="G95" t="inlineStr">
        <is>
          <t>ÖDESHÖG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46275</v>
      </c>
      <c r="F96" t="inlineStr">
        <is>
          <t>ÖSTERGÖTLANDS LÄN</t>
        </is>
      </c>
      <c r="G96" t="inlineStr">
        <is>
          <t>ÖDESHÖG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35229-2023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45145</v>
      </c>
      <c r="E97" s="1" t="n">
        <v>46275</v>
      </c>
      <c r="F97" t="inlineStr">
        <is>
          <t>ÖSTERGÖTLANDS LÄN</t>
        </is>
      </c>
      <c r="G97" t="inlineStr">
        <is>
          <t>ÖDESHÖG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45335</v>
      </c>
      <c r="E98" s="1" t="n">
        <v>46275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45533</v>
      </c>
      <c r="E99" s="1" t="n">
        <v>46275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46275</v>
      </c>
      <c r="F100" t="inlineStr">
        <is>
          <t>ÖSTERGÖTLANDS LÄN</t>
        </is>
      </c>
      <c r="G100" t="inlineStr">
        <is>
          <t>ÖDESHÖG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14736-2024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45397</v>
      </c>
      <c r="E101" s="1" t="n">
        <v>46275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45603</v>
      </c>
      <c r="E102" s="1" t="n">
        <v>46275</v>
      </c>
      <c r="F102" t="inlineStr">
        <is>
          <t>ÖSTERGÖTLANDS LÄN</t>
        </is>
      </c>
      <c r="G102" t="inlineStr">
        <is>
          <t>ÖDESHÖG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45699</v>
      </c>
      <c r="E103" s="1" t="n">
        <v>46275</v>
      </c>
      <c r="F103" t="inlineStr">
        <is>
          <t>ÖSTERGÖTLANDS LÄN</t>
        </is>
      </c>
      <c r="G103" t="inlineStr">
        <is>
          <t>ÖDESHÖG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15344-2025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46275</v>
      </c>
      <c r="F104" t="inlineStr">
        <is>
          <t>ÖSTERGÖTLANDS LÄN</t>
        </is>
      </c>
      <c r="G104" t="inlineStr">
        <is>
          <t>ÖDESHÖG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46275</v>
      </c>
      <c r="F105" t="inlineStr">
        <is>
          <t>ÖSTERGÖTLANDS LÄN</t>
        </is>
      </c>
      <c r="G105" t="inlineStr">
        <is>
          <t>ÖDESHÖG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44698</v>
      </c>
      <c r="E106" s="1" t="n">
        <v>46275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43263-2023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45183</v>
      </c>
      <c r="E107" s="1" t="n">
        <v>46275</v>
      </c>
      <c r="F107" t="inlineStr">
        <is>
          <t>ÖSTERGÖTLANDS LÄN</t>
        </is>
      </c>
      <c r="G107" t="inlineStr">
        <is>
          <t>ÖDESHÖG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46275</v>
      </c>
      <c r="F108" t="inlineStr">
        <is>
          <t>ÖSTERGÖTLANDS LÄN</t>
        </is>
      </c>
      <c r="G108" t="inlineStr">
        <is>
          <t>ÖDESHÖG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46275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9.5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46275</v>
      </c>
      <c r="F110" t="inlineStr">
        <is>
          <t>ÖSTERGÖTLANDS LÄN</t>
        </is>
      </c>
      <c r="G110" t="inlineStr">
        <is>
          <t>ÖDESHÖG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46275</v>
      </c>
      <c r="F111" t="inlineStr">
        <is>
          <t>ÖSTERGÖTLANDS LÄN</t>
        </is>
      </c>
      <c r="G111" t="inlineStr">
        <is>
          <t>ÖDESHÖG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46275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45516</v>
      </c>
      <c r="E113" s="1" t="n">
        <v>46275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46275</v>
      </c>
      <c r="F114" t="inlineStr">
        <is>
          <t>ÖSTERGÖTLANDS LÄN</t>
        </is>
      </c>
      <c r="G114" t="inlineStr">
        <is>
          <t>ÖDESHÖG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46275</v>
      </c>
      <c r="F115" t="inlineStr">
        <is>
          <t>ÖSTERGÖTLANDS LÄN</t>
        </is>
      </c>
      <c r="G115" t="inlineStr">
        <is>
          <t>ÖDESHÖG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45582</v>
      </c>
      <c r="E116" s="1" t="n">
        <v>46275</v>
      </c>
      <c r="F116" t="inlineStr">
        <is>
          <t>ÖSTERGÖTLANDS LÄN</t>
        </is>
      </c>
      <c r="G116" t="inlineStr">
        <is>
          <t>ÖDESHÖG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14166-2023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46275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44700</v>
      </c>
      <c r="E118" s="1" t="n">
        <v>46275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46275</v>
      </c>
      <c r="F119" t="inlineStr">
        <is>
          <t>ÖSTERGÖTLANDS LÄN</t>
        </is>
      </c>
      <c r="G119" t="inlineStr">
        <is>
          <t>ÖDESHÖG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46275</v>
      </c>
      <c r="F120" t="inlineStr">
        <is>
          <t>ÖSTERGÖTLANDS LÄN</t>
        </is>
      </c>
      <c r="G120" t="inlineStr">
        <is>
          <t>ÖDESHÖG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46275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45782</v>
      </c>
      <c r="E122" s="1" t="n">
        <v>46275</v>
      </c>
      <c r="F122" t="inlineStr">
        <is>
          <t>ÖSTERGÖTLANDS LÄN</t>
        </is>
      </c>
      <c r="G122" t="inlineStr">
        <is>
          <t>ÖDESHÖG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45782</v>
      </c>
      <c r="E123" s="1" t="n">
        <v>46275</v>
      </c>
      <c r="F123" t="inlineStr">
        <is>
          <t>ÖSTERGÖTLANDS LÄN</t>
        </is>
      </c>
      <c r="G123" t="inlineStr">
        <is>
          <t>ÖDESHÖG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46275</v>
      </c>
      <c r="F124" t="inlineStr">
        <is>
          <t>ÖSTERGÖTLANDS LÄN</t>
        </is>
      </c>
      <c r="G124" t="inlineStr">
        <is>
          <t>ÖDESHÖG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15909-2024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45405</v>
      </c>
      <c r="E125" s="1" t="n">
        <v>46275</v>
      </c>
      <c r="F125" t="inlineStr">
        <is>
          <t>ÖSTERGÖTLANDS LÄN</t>
        </is>
      </c>
      <c r="G125" t="inlineStr">
        <is>
          <t>ÖDESHÖG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46275</v>
      </c>
      <c r="F126" t="inlineStr">
        <is>
          <t>ÖSTERGÖTLANDS LÄN</t>
        </is>
      </c>
      <c r="G126" t="inlineStr">
        <is>
          <t>ÖDESHÖG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46275</v>
      </c>
      <c r="F127" t="inlineStr">
        <is>
          <t>ÖSTERGÖTLANDS LÄN</t>
        </is>
      </c>
      <c r="G127" t="inlineStr">
        <is>
          <t>ÖDESHÖG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45680</v>
      </c>
      <c r="E128" s="1" t="n">
        <v>46275</v>
      </c>
      <c r="F128" t="inlineStr">
        <is>
          <t>ÖSTERGÖTLANDS LÄN</t>
        </is>
      </c>
      <c r="G128" t="inlineStr">
        <is>
          <t>ÖDESHÖG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45512</v>
      </c>
      <c r="E129" s="1" t="n">
        <v>46275</v>
      </c>
      <c r="F129" t="inlineStr">
        <is>
          <t>ÖSTERGÖTLANDS LÄN</t>
        </is>
      </c>
      <c r="G129" t="inlineStr">
        <is>
          <t>ÖDESHÖG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46275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22.7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45217</v>
      </c>
      <c r="E131" s="1" t="n">
        <v>46275</v>
      </c>
      <c r="F131" t="inlineStr">
        <is>
          <t>ÖSTERGÖTLANDS LÄN</t>
        </is>
      </c>
      <c r="G131" t="inlineStr">
        <is>
          <t>ÖDESHÖG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46275</v>
      </c>
      <c r="F132" t="inlineStr">
        <is>
          <t>ÖSTERGÖTLANDS LÄN</t>
        </is>
      </c>
      <c r="G132" t="inlineStr">
        <is>
          <t>ÖDESHÖG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45782</v>
      </c>
      <c r="E133" s="1" t="n">
        <v>46275</v>
      </c>
      <c r="F133" t="inlineStr">
        <is>
          <t>ÖSTERGÖTLANDS LÄN</t>
        </is>
      </c>
      <c r="G133" t="inlineStr">
        <is>
          <t>ÖDESHÖG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46275</v>
      </c>
      <c r="F134" t="inlineStr">
        <is>
          <t>ÖSTERGÖTLANDS LÄN</t>
        </is>
      </c>
      <c r="G134" t="inlineStr">
        <is>
          <t>ÖDESHÖG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45603</v>
      </c>
      <c r="E135" s="1" t="n">
        <v>46275</v>
      </c>
      <c r="F135" t="inlineStr">
        <is>
          <t>ÖSTERGÖTLANDS LÄN</t>
        </is>
      </c>
      <c r="G135" t="inlineStr">
        <is>
          <t>ÖDESHÖG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46275</v>
      </c>
      <c r="F136" t="inlineStr">
        <is>
          <t>ÖSTERGÖTLANDS LÄN</t>
        </is>
      </c>
      <c r="G136" t="inlineStr">
        <is>
          <t>ÖDESHÖG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39190-2023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45166</v>
      </c>
      <c r="E137" s="1" t="n">
        <v>46275</v>
      </c>
      <c r="F137" t="inlineStr">
        <is>
          <t>ÖSTERGÖTLANDS LÄN</t>
        </is>
      </c>
      <c r="G137" t="inlineStr">
        <is>
          <t>ÖDESHÖG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45027</v>
      </c>
      <c r="E138" s="1" t="n">
        <v>46275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46275</v>
      </c>
      <c r="F139" t="inlineStr">
        <is>
          <t>ÖSTERGÖTLANDS LÄN</t>
        </is>
      </c>
      <c r="G139" t="inlineStr">
        <is>
          <t>ÖDESHÖG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46275</v>
      </c>
      <c r="F140" t="inlineStr">
        <is>
          <t>ÖSTERGÖTLANDS LÄN</t>
        </is>
      </c>
      <c r="G140" t="inlineStr">
        <is>
          <t>ÖDESHÖG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46275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46275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46275</v>
      </c>
      <c r="F143" t="inlineStr">
        <is>
          <t>ÖSTERGÖTLANDS LÄN</t>
        </is>
      </c>
      <c r="G143" t="inlineStr">
        <is>
          <t>ÖDESHÖG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46275</v>
      </c>
      <c r="F144" t="inlineStr">
        <is>
          <t>ÖSTERGÖTLANDS LÄN</t>
        </is>
      </c>
      <c r="G144" t="inlineStr">
        <is>
          <t>ÖDESHÖG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45160</v>
      </c>
      <c r="E145" s="1" t="n">
        <v>46275</v>
      </c>
      <c r="F145" t="inlineStr">
        <is>
          <t>ÖSTERGÖTLANDS LÄN</t>
        </is>
      </c>
      <c r="G145" t="inlineStr">
        <is>
          <t>ÖDESHÖG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46275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45838</v>
      </c>
      <c r="E147" s="1" t="n">
        <v>46275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46275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46275</v>
      </c>
      <c r="F149" t="inlineStr">
        <is>
          <t>ÖSTERGÖTLANDS LÄN</t>
        </is>
      </c>
      <c r="G149" t="inlineStr">
        <is>
          <t>ÖDESHÖG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46275</v>
      </c>
      <c r="F150" t="inlineStr">
        <is>
          <t>ÖSTERGÖTLANDS LÄN</t>
        </is>
      </c>
      <c r="G150" t="inlineStr">
        <is>
          <t>ÖDESHÖG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46275</v>
      </c>
      <c r="F151" t="inlineStr">
        <is>
          <t>ÖSTERGÖTLANDS LÄN</t>
        </is>
      </c>
      <c r="G151" t="inlineStr">
        <is>
          <t>ÖDESHÖG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46275</v>
      </c>
      <c r="F152" t="inlineStr">
        <is>
          <t>ÖSTERGÖTLANDS LÄN</t>
        </is>
      </c>
      <c r="G152" t="inlineStr">
        <is>
          <t>ÖDESHÖG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44796</v>
      </c>
      <c r="E153" s="1" t="n">
        <v>46275</v>
      </c>
      <c r="F153" t="inlineStr">
        <is>
          <t>ÖSTERGÖTLANDS LÄN</t>
        </is>
      </c>
      <c r="G153" t="inlineStr">
        <is>
          <t>ÖDESHÖG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46275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48063-2025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46275</v>
      </c>
      <c r="F155" t="inlineStr">
        <is>
          <t>ÖSTERGÖTLANDS LÄN</t>
        </is>
      </c>
      <c r="G155" t="inlineStr">
        <is>
          <t>ÖDESHÖG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47648-2025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46275</v>
      </c>
      <c r="F156" t="inlineStr">
        <is>
          <t>ÖSTERGÖTLANDS LÄN</t>
        </is>
      </c>
      <c r="G156" t="inlineStr">
        <is>
          <t>ÖDESHÖG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46275</v>
      </c>
      <c r="F157" t="inlineStr">
        <is>
          <t>ÖSTERGÖTLANDS LÄN</t>
        </is>
      </c>
      <c r="G157" t="inlineStr">
        <is>
          <t>ÖDESHÖG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45048</v>
      </c>
      <c r="E158" s="1" t="n">
        <v>46275</v>
      </c>
      <c r="F158" t="inlineStr">
        <is>
          <t>ÖSTERGÖTLANDS LÄN</t>
        </is>
      </c>
      <c r="G158" t="inlineStr">
        <is>
          <t>ÖDESHÖG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46275</v>
      </c>
      <c r="F159" t="inlineStr">
        <is>
          <t>ÖSTERGÖTLANDS LÄN</t>
        </is>
      </c>
      <c r="G159" t="inlineStr">
        <is>
          <t>ÖDESHÖG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46275</v>
      </c>
      <c r="F160" t="inlineStr">
        <is>
          <t>ÖSTERGÖTLANDS LÄN</t>
        </is>
      </c>
      <c r="G160" t="inlineStr">
        <is>
          <t>ÖDESHÖG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45944</v>
      </c>
      <c r="E161" s="1" t="n">
        <v>46275</v>
      </c>
      <c r="F161" t="inlineStr">
        <is>
          <t>ÖSTERGÖTLANDS LÄN</t>
        </is>
      </c>
      <c r="G161" t="inlineStr">
        <is>
          <t>ÖDESHÖG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46275</v>
      </c>
      <c r="F162" t="inlineStr">
        <is>
          <t>ÖSTERGÖTLANDS LÄN</t>
        </is>
      </c>
      <c r="G162" t="inlineStr">
        <is>
          <t>ÖDESHÖG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46275</v>
      </c>
      <c r="F163" t="inlineStr">
        <is>
          <t>ÖSTERGÖTLANDS LÄN</t>
        </is>
      </c>
      <c r="G163" t="inlineStr">
        <is>
          <t>ÖDESHÖG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46275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46275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11193-2023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44992</v>
      </c>
      <c r="E166" s="1" t="n">
        <v>46275</v>
      </c>
      <c r="F166" t="inlineStr">
        <is>
          <t>ÖSTERGÖTLANDS LÄN</t>
        </is>
      </c>
      <c r="G166" t="inlineStr">
        <is>
          <t>ÖDESHÖG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45776</v>
      </c>
      <c r="E167" s="1" t="n">
        <v>46275</v>
      </c>
      <c r="F167" t="inlineStr">
        <is>
          <t>ÖSTERGÖTLANDS LÄN</t>
        </is>
      </c>
      <c r="G167" t="inlineStr">
        <is>
          <t>ÖDESHÖG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46275</v>
      </c>
      <c r="F168" t="inlineStr">
        <is>
          <t>ÖSTERGÖTLANDS LÄN</t>
        </is>
      </c>
      <c r="G168" t="inlineStr">
        <is>
          <t>ÖDESHÖG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46275</v>
      </c>
      <c r="F169" t="inlineStr">
        <is>
          <t>ÖSTERGÖTLANDS LÄN</t>
        </is>
      </c>
      <c r="G169" t="inlineStr">
        <is>
          <t>ÖDESHÖG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46275</v>
      </c>
      <c r="F170" t="inlineStr">
        <is>
          <t>ÖSTERGÖTLANDS LÄN</t>
        </is>
      </c>
      <c r="G170" t="inlineStr">
        <is>
          <t>ÖDESHÖG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46275</v>
      </c>
      <c r="F171" t="inlineStr">
        <is>
          <t>ÖSTERGÖTLANDS LÄN</t>
        </is>
      </c>
      <c r="G171" t="inlineStr">
        <is>
          <t>ÖDESHÖG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46275</v>
      </c>
      <c r="F172" t="inlineStr">
        <is>
          <t>ÖSTERGÖTLANDS LÄN</t>
        </is>
      </c>
      <c r="G172" t="inlineStr">
        <is>
          <t>ÖDESHÖG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44999</v>
      </c>
      <c r="E173" s="1" t="n">
        <v>46275</v>
      </c>
      <c r="F173" t="inlineStr">
        <is>
          <t>ÖSTERGÖTLANDS LÄN</t>
        </is>
      </c>
      <c r="G173" t="inlineStr">
        <is>
          <t>ÖDESHÖG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45149</v>
      </c>
      <c r="E174" s="1" t="n">
        <v>46275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44658</v>
      </c>
      <c r="E175" s="1" t="n">
        <v>46275</v>
      </c>
      <c r="F175" t="inlineStr">
        <is>
          <t>ÖSTERGÖTLANDS LÄN</t>
        </is>
      </c>
      <c r="G175" t="inlineStr">
        <is>
          <t>ÖDESHÖG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46275</v>
      </c>
      <c r="F176" t="inlineStr">
        <is>
          <t>ÖSTERGÖTLANDS LÄN</t>
        </is>
      </c>
      <c r="G176" t="inlineStr">
        <is>
          <t>ÖDESHÖG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46275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46275</v>
      </c>
      <c r="F178" t="inlineStr">
        <is>
          <t>ÖSTERGÖTLANDS LÄN</t>
        </is>
      </c>
      <c r="G178" t="inlineStr">
        <is>
          <t>ÖDESHÖG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46275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46275</v>
      </c>
      <c r="F180" t="inlineStr">
        <is>
          <t>ÖSTERGÖTLANDS LÄN</t>
        </is>
      </c>
      <c r="G180" t="inlineStr">
        <is>
          <t>ÖDESHÖG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46275</v>
      </c>
      <c r="F181" t="inlineStr">
        <is>
          <t>ÖSTERGÖTLANDS LÄN</t>
        </is>
      </c>
      <c r="G181" t="inlineStr">
        <is>
          <t>ÖDESHÖG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44709</v>
      </c>
      <c r="E182" s="1" t="n">
        <v>46275</v>
      </c>
      <c r="F182" t="inlineStr">
        <is>
          <t>ÖSTERGÖTLANDS LÄN</t>
        </is>
      </c>
      <c r="G182" t="inlineStr">
        <is>
          <t>ÖDESHÖG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72603-2021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44546</v>
      </c>
      <c r="E183" s="1" t="n">
        <v>46275</v>
      </c>
      <c r="F183" t="inlineStr">
        <is>
          <t>ÖSTERGÖTLANDS LÄN</t>
        </is>
      </c>
      <c r="G183" t="inlineStr">
        <is>
          <t>ÖDESHÖG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46275</v>
      </c>
      <c r="F184" t="inlineStr">
        <is>
          <t>ÖSTERGÖTLANDS LÄN</t>
        </is>
      </c>
      <c r="G184" t="inlineStr">
        <is>
          <t>ÖDESHÖG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44981</v>
      </c>
      <c r="E185" s="1" t="n">
        <v>46275</v>
      </c>
      <c r="F185" t="inlineStr">
        <is>
          <t>ÖSTERGÖTLANDS LÄN</t>
        </is>
      </c>
      <c r="G185" t="inlineStr">
        <is>
          <t>ÖDESHÖG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46006</v>
      </c>
      <c r="E186" s="1" t="n">
        <v>46275</v>
      </c>
      <c r="F186" t="inlineStr">
        <is>
          <t>ÖSTERGÖTLANDS LÄN</t>
        </is>
      </c>
      <c r="G186" t="inlineStr">
        <is>
          <t>ÖDESHÖG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46275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46275</v>
      </c>
      <c r="F188" t="inlineStr">
        <is>
          <t>ÖSTERGÖTLANDS LÄN</t>
        </is>
      </c>
      <c r="G188" t="inlineStr">
        <is>
          <t>ÖDESHÖG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46275</v>
      </c>
      <c r="F189" t="inlineStr">
        <is>
          <t>ÖSTERGÖTLANDS LÄN</t>
        </is>
      </c>
      <c r="G189" t="inlineStr">
        <is>
          <t>ÖDESHÖG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46275</v>
      </c>
      <c r="F190" t="inlineStr">
        <is>
          <t>ÖSTERGÖTLANDS LÄN</t>
        </is>
      </c>
      <c r="G190" t="inlineStr">
        <is>
          <t>ÖDESHÖG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46275</v>
      </c>
      <c r="F191" t="inlineStr">
        <is>
          <t>ÖSTERGÖTLANDS LÄN</t>
        </is>
      </c>
      <c r="G191" t="inlineStr">
        <is>
          <t>ÖDESHÖG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46275</v>
      </c>
      <c r="F192" t="inlineStr">
        <is>
          <t>ÖSTERGÖTLANDS LÄN</t>
        </is>
      </c>
      <c r="G192" t="inlineStr">
        <is>
          <t>ÖDESHÖG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46021</v>
      </c>
      <c r="E193" s="1" t="n">
        <v>46275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46275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15.4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46275</v>
      </c>
      <c r="F195" t="inlineStr">
        <is>
          <t>ÖSTERGÖTLANDS LÄN</t>
        </is>
      </c>
      <c r="G195" t="inlineStr">
        <is>
          <t>ÖDESHÖG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46275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46275</v>
      </c>
      <c r="F197" t="inlineStr">
        <is>
          <t>ÖSTERGÖTLANDS LÄN</t>
        </is>
      </c>
      <c r="G197" t="inlineStr">
        <is>
          <t>ÖDESHÖG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46275</v>
      </c>
      <c r="F198" t="inlineStr">
        <is>
          <t>ÖSTERGÖTLANDS LÄN</t>
        </is>
      </c>
      <c r="G198" t="inlineStr">
        <is>
          <t>ÖDESHÖG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46275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46275</v>
      </c>
      <c r="F200" t="inlineStr">
        <is>
          <t>ÖSTERGÖTLANDS LÄN</t>
        </is>
      </c>
      <c r="G200" t="inlineStr">
        <is>
          <t>ÖDESHÖG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46275</v>
      </c>
      <c r="F201" t="inlineStr">
        <is>
          <t>ÖSTERGÖTLANDS LÄN</t>
        </is>
      </c>
      <c r="G201" t="inlineStr">
        <is>
          <t>ÖDESHÖG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46275</v>
      </c>
      <c r="F202" t="inlineStr">
        <is>
          <t>ÖSTERGÖTLANDS LÄN</t>
        </is>
      </c>
      <c r="G202" t="inlineStr">
        <is>
          <t>ÖDESHÖG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46275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46275</v>
      </c>
      <c r="F204" t="inlineStr">
        <is>
          <t>ÖSTERGÖTLANDS LÄN</t>
        </is>
      </c>
      <c r="G204" t="inlineStr">
        <is>
          <t>ÖDESHÖG</t>
        </is>
      </c>
      <c r="I204" t="n">
        <v>13.4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46275</v>
      </c>
      <c r="F205" t="inlineStr">
        <is>
          <t>ÖSTERGÖTLANDS LÄN</t>
        </is>
      </c>
      <c r="G205" t="inlineStr">
        <is>
          <t>ÖDESHÖG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46092</v>
      </c>
      <c r="E206" s="1" t="n">
        <v>46275</v>
      </c>
      <c r="F206" t="inlineStr">
        <is>
          <t>ÖSTERGÖTLANDS LÄN</t>
        </is>
      </c>
      <c r="G206" t="inlineStr">
        <is>
          <t>ÖDESHÖG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14617-2026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46275</v>
      </c>
      <c r="F207" t="inlineStr">
        <is>
          <t>ÖSTERGÖTLANDS LÄN</t>
        </is>
      </c>
      <c r="G207" t="inlineStr">
        <is>
          <t>ÖDESHÖG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46275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46275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46275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46275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46109</v>
      </c>
      <c r="E212" s="1" t="n">
        <v>46275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46109</v>
      </c>
      <c r="E213" s="1" t="n">
        <v>46275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46122</v>
      </c>
      <c r="E214" s="1" t="n">
        <v>46275</v>
      </c>
      <c r="F214" t="inlineStr">
        <is>
          <t>ÖSTERGÖTLANDS LÄN</t>
        </is>
      </c>
      <c r="G214" t="inlineStr">
        <is>
          <t>ÖDESHÖG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46275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63074-2025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46009</v>
      </c>
      <c r="E216" s="1" t="n">
        <v>46275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46024</v>
      </c>
      <c r="E217" s="1" t="n">
        <v>46275</v>
      </c>
      <c r="F217" t="inlineStr">
        <is>
          <t>ÖSTERGÖTLANDS LÄN</t>
        </is>
      </c>
      <c r="G217" t="inlineStr">
        <is>
          <t>ÖDESHÖG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45692</v>
      </c>
      <c r="E218" s="1" t="n">
        <v>46275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46275</v>
      </c>
      <c r="F219" t="inlineStr">
        <is>
          <t>ÖSTERGÖTLANDS LÄN</t>
        </is>
      </c>
      <c r="G219" t="inlineStr">
        <is>
          <t>ÖDESHÖG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45645</v>
      </c>
      <c r="E220" s="1" t="n">
        <v>46275</v>
      </c>
      <c r="F220" t="inlineStr">
        <is>
          <t>ÖSTERGÖTLANDS LÄN</t>
        </is>
      </c>
      <c r="G220" t="inlineStr">
        <is>
          <t>ÖDESHÖG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46275</v>
      </c>
      <c r="F221" t="inlineStr">
        <is>
          <t>ÖSTERGÖTLANDS LÄN</t>
        </is>
      </c>
      <c r="G221" t="inlineStr">
        <is>
          <t>ÖDESHÖG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46275</v>
      </c>
      <c r="F222" t="inlineStr">
        <is>
          <t>ÖSTERGÖTLANDS LÄN</t>
        </is>
      </c>
      <c r="G222" t="inlineStr">
        <is>
          <t>ÖDESHÖG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46275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46275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46275</v>
      </c>
      <c r="F225" t="inlineStr">
        <is>
          <t>ÖSTERGÖTLANDS LÄN</t>
        </is>
      </c>
      <c r="G225" t="inlineStr">
        <is>
          <t>ÖDESHÖG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46275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46275</v>
      </c>
      <c r="F227" t="inlineStr">
        <is>
          <t>ÖSTERGÖTLANDS LÄN</t>
        </is>
      </c>
      <c r="G227" t="inlineStr">
        <is>
          <t>ÖDESHÖG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46275</v>
      </c>
      <c r="F228" t="inlineStr">
        <is>
          <t>ÖSTERGÖTLANDS LÄN</t>
        </is>
      </c>
      <c r="G228" t="inlineStr">
        <is>
          <t>ÖDESHÖG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46275</v>
      </c>
      <c r="F229" t="inlineStr">
        <is>
          <t>ÖSTERGÖTLANDS LÄN</t>
        </is>
      </c>
      <c r="G229" t="inlineStr">
        <is>
          <t>ÖDESHÖG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46275</v>
      </c>
      <c r="F230" t="inlineStr">
        <is>
          <t>ÖSTERGÖTLANDS LÄN</t>
        </is>
      </c>
      <c r="G230" t="inlineStr">
        <is>
          <t>ÖDESHÖG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46275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46198</v>
      </c>
      <c r="E232" s="1" t="n">
        <v>46275</v>
      </c>
      <c r="F232" t="inlineStr">
        <is>
          <t>ÖSTERGÖTLANDS LÄN</t>
        </is>
      </c>
      <c r="G232" t="inlineStr">
        <is>
          <t>ÖDESHÖG</t>
        </is>
      </c>
      <c r="H232" t="inlineStr">
        <is>
          <t>Allmännings- och besparingsskogar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46275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46275</v>
      </c>
      <c r="F234" t="inlineStr">
        <is>
          <t>ÖSTERGÖTLANDS LÄN</t>
        </is>
      </c>
      <c r="G234" t="inlineStr">
        <is>
          <t>ÖDESHÖG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46275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46272</v>
      </c>
      <c r="E236" s="1" t="n">
        <v>46275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46275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46275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2026-09-10T02:14:54Z</dcterms:created>
  <dcterms:modified xmlns:dcterms="http://purl.org/dc/terms/" xmlns:xsi="http://www.w3.org/2001/XMLSchema-instance" xsi:type="dcterms:W3CDTF">2026-09-10T02:14:55Z</dcterms:modified>
</cp:coreProperties>
</file>