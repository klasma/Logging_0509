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46282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46282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46282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46282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46282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46282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46282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46282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46282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32776-2025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45839</v>
      </c>
      <c r="E11" s="1" t="n">
        <v>46282</v>
      </c>
      <c r="F11" t="inlineStr">
        <is>
          <t>ÖSTERGÖTLANDS LÄN</t>
        </is>
      </c>
      <c r="G11" t="inlineStr">
        <is>
          <t>ÖDESHÖG</t>
        </is>
      </c>
      <c r="I11" t="n">
        <v>1.3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Smalsprötad bastardsvärmare</t>
        </is>
      </c>
      <c r="W11">
        <f>HYPERLINK("https://klasma.github.io/Logging_0509/artfynd/A 32776-2025 artfynd.xlsx", "A 32776-2025")</f>
        <v/>
      </c>
      <c r="X11">
        <f>HYPERLINK("https://klasma.github.io/Logging_0509/kartor/A 32776-2025 karta.png", "A 32776-2025")</f>
        <v/>
      </c>
      <c r="Y11">
        <f>HYPERLINK("https://klasma.github.io/Logging_0509/kartor_geotiff/A 32776-2025 georefererad karta.tif", "A 32776-2025")</f>
        <v/>
      </c>
      <c r="AA11">
        <f>HYPERLINK("https://klasma.github.io/Logging_0509/klagomål/A 32776-2025 FSC-klagomål.docx", "A 32776-2025")</f>
        <v/>
      </c>
      <c r="AB11">
        <f>HYPERLINK("https://klasma.github.io/Logging_0509/klagomålsmail/A 32776-2025 FSC-klagomål mail.docx", "A 32776-2025")</f>
        <v/>
      </c>
      <c r="AC11">
        <f>HYPERLINK("https://klasma.github.io/Logging_0509/tillsyn/A 32776-2025 tillsynsbegäran.docx", "A 32776-2025")</f>
        <v/>
      </c>
      <c r="AD11">
        <f>HYPERLINK("https://klasma.github.io/Logging_0509/tillsynsmail/A 32776-2025 tillsynsbegäran mail.docx", "A 32776-2025")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46282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46282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46282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46282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46282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46282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46282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46282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46282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46282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46282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46282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46282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46282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46282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46282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46282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46282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46282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46282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46282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46282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46282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46282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46282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46282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46282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46282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46282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46282</v>
      </c>
      <c r="F41" t="inlineStr">
        <is>
          <t>ÖSTERGÖTLANDS LÄN</t>
        </is>
      </c>
      <c r="G41" t="inlineStr">
        <is>
          <t>ÖDESHÖG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44974</v>
      </c>
      <c r="E42" s="1" t="n">
        <v>46282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46282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46282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46282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46282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46282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46282</v>
      </c>
      <c r="F48" t="inlineStr">
        <is>
          <t>ÖSTERGÖTLANDS LÄN</t>
        </is>
      </c>
      <c r="G48" t="inlineStr">
        <is>
          <t>ÖDESHÖG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46282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46282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46282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46282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46282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46282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46029</v>
      </c>
      <c r="E55" s="1" t="n">
        <v>46282</v>
      </c>
      <c r="F55" t="inlineStr">
        <is>
          <t>ÖSTERGÖTLANDS LÄN</t>
        </is>
      </c>
      <c r="G55" t="inlineStr">
        <is>
          <t>ÖDESHÖG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46282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45582</v>
      </c>
      <c r="E57" s="1" t="n">
        <v>46282</v>
      </c>
      <c r="F57" t="inlineStr">
        <is>
          <t>ÖSTERGÖTLANDS LÄN</t>
        </is>
      </c>
      <c r="G57" t="inlineStr">
        <is>
          <t>ÖDESHÖG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46031</v>
      </c>
      <c r="E58" s="1" t="n">
        <v>46282</v>
      </c>
      <c r="F58" t="inlineStr">
        <is>
          <t>ÖSTERGÖTLANDS LÄN</t>
        </is>
      </c>
      <c r="G58" t="inlineStr">
        <is>
          <t>ÖDESHÖG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1261-2026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46282</v>
      </c>
      <c r="F59" t="inlineStr">
        <is>
          <t>ÖSTERGÖTLANDS LÄN</t>
        </is>
      </c>
      <c r="G59" t="inlineStr">
        <is>
          <t>ÖDESHÖG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46282</v>
      </c>
      <c r="F60" t="inlineStr">
        <is>
          <t>ÖSTERGÖTLANDS LÄN</t>
        </is>
      </c>
      <c r="G60" t="inlineStr">
        <is>
          <t>ÖDESHÖG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45149</v>
      </c>
      <c r="E61" s="1" t="n">
        <v>46282</v>
      </c>
      <c r="F61" t="inlineStr">
        <is>
          <t>ÖSTERGÖTLANDS LÄN</t>
        </is>
      </c>
      <c r="G61" t="inlineStr">
        <is>
          <t>ÖDESHÖG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46282</v>
      </c>
      <c r="F62" t="inlineStr">
        <is>
          <t>ÖSTERGÖTLANDS LÄN</t>
        </is>
      </c>
      <c r="G62" t="inlineStr">
        <is>
          <t>ÖDESHÖG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46282</v>
      </c>
      <c r="F63" t="inlineStr">
        <is>
          <t>ÖSTERGÖTLANDS LÄN</t>
        </is>
      </c>
      <c r="G63" t="inlineStr">
        <is>
          <t>ÖDESHÖG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44938</v>
      </c>
      <c r="E64" s="1" t="n">
        <v>46282</v>
      </c>
      <c r="F64" t="inlineStr">
        <is>
          <t>ÖSTERGÖTLANDS LÄN</t>
        </is>
      </c>
      <c r="G64" t="inlineStr">
        <is>
          <t>ÖDESHÖG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45145</v>
      </c>
      <c r="E65" s="1" t="n">
        <v>46282</v>
      </c>
      <c r="F65" t="inlineStr">
        <is>
          <t>ÖSTERGÖTLANDS LÄN</t>
        </is>
      </c>
      <c r="G65" t="inlineStr">
        <is>
          <t>ÖDESHÖG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46034</v>
      </c>
      <c r="E66" s="1" t="n">
        <v>46282</v>
      </c>
      <c r="F66" t="inlineStr">
        <is>
          <t>ÖSTERGÖTLANDS LÄN</t>
        </is>
      </c>
      <c r="G66" t="inlineStr">
        <is>
          <t>ÖDESHÖG</t>
        </is>
      </c>
      <c r="H66" t="inlineStr">
        <is>
          <t>Allmännings- och besparingsskogar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46282</v>
      </c>
      <c r="F67" t="inlineStr">
        <is>
          <t>ÖSTERGÖTLANDS LÄN</t>
        </is>
      </c>
      <c r="G67" t="inlineStr">
        <is>
          <t>ÖDESHÖG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46282</v>
      </c>
      <c r="F68" t="inlineStr">
        <is>
          <t>ÖSTERGÖTLANDS LÄN</t>
        </is>
      </c>
      <c r="G68" t="inlineStr">
        <is>
          <t>ÖDESHÖG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45416</v>
      </c>
      <c r="E69" s="1" t="n">
        <v>46282</v>
      </c>
      <c r="F69" t="inlineStr">
        <is>
          <t>ÖSTERGÖTLANDS LÄN</t>
        </is>
      </c>
      <c r="G69" t="inlineStr">
        <is>
          <t>ÖDESHÖG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47993-2024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45589</v>
      </c>
      <c r="E70" s="1" t="n">
        <v>46282</v>
      </c>
      <c r="F70" t="inlineStr">
        <is>
          <t>ÖSTERGÖTLANDS LÄN</t>
        </is>
      </c>
      <c r="G70" t="inlineStr">
        <is>
          <t>ÖDESHÖG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46282</v>
      </c>
      <c r="F71" t="inlineStr">
        <is>
          <t>ÖSTERGÖTLANDS LÄN</t>
        </is>
      </c>
      <c r="G71" t="inlineStr">
        <is>
          <t>ÖDESHÖG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46282</v>
      </c>
      <c r="F72" t="inlineStr">
        <is>
          <t>ÖSTERGÖTLANDS LÄN</t>
        </is>
      </c>
      <c r="G72" t="inlineStr">
        <is>
          <t>ÖDESHÖG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46034</v>
      </c>
      <c r="E73" s="1" t="n">
        <v>46282</v>
      </c>
      <c r="F73" t="inlineStr">
        <is>
          <t>ÖSTERGÖTLANDS LÄN</t>
        </is>
      </c>
      <c r="G73" t="inlineStr">
        <is>
          <t>ÖDESHÖG</t>
        </is>
      </c>
      <c r="H73" t="inlineStr">
        <is>
          <t>Allmännings- och besparingsskogar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5513-2025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45693</v>
      </c>
      <c r="E74" s="1" t="n">
        <v>46282</v>
      </c>
      <c r="F74" t="inlineStr">
        <is>
          <t>ÖSTERGÖTLANDS LÄN</t>
        </is>
      </c>
      <c r="G74" t="inlineStr">
        <is>
          <t>ÖDESHÖG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45337</v>
      </c>
      <c r="E75" s="1" t="n">
        <v>46282</v>
      </c>
      <c r="F75" t="inlineStr">
        <is>
          <t>ÖSTERGÖTLANDS LÄN</t>
        </is>
      </c>
      <c r="G75" t="inlineStr">
        <is>
          <t>ÖDESHÖG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14156-2023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45009</v>
      </c>
      <c r="E76" s="1" t="n">
        <v>46282</v>
      </c>
      <c r="F76" t="inlineStr">
        <is>
          <t>ÖSTERGÖTLANDS LÄN</t>
        </is>
      </c>
      <c r="G76" t="inlineStr">
        <is>
          <t>ÖDESHÖG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45002</v>
      </c>
      <c r="E77" s="1" t="n">
        <v>46282</v>
      </c>
      <c r="F77" t="inlineStr">
        <is>
          <t>ÖSTERGÖTLANDS LÄN</t>
        </is>
      </c>
      <c r="G77" t="inlineStr">
        <is>
          <t>ÖDESHÖG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32466-2025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45838</v>
      </c>
      <c r="E78" s="1" t="n">
        <v>46282</v>
      </c>
      <c r="F78" t="inlineStr">
        <is>
          <t>ÖSTERGÖTLANDS LÄN</t>
        </is>
      </c>
      <c r="G78" t="inlineStr">
        <is>
          <t>ÖDESHÖG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45838</v>
      </c>
      <c r="E79" s="1" t="n">
        <v>46282</v>
      </c>
      <c r="F79" t="inlineStr">
        <is>
          <t>ÖSTERGÖTLANDS LÄN</t>
        </is>
      </c>
      <c r="G79" t="inlineStr">
        <is>
          <t>ÖDESHÖG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46282</v>
      </c>
      <c r="F80" t="inlineStr">
        <is>
          <t>ÖSTERGÖTLANDS LÄN</t>
        </is>
      </c>
      <c r="G80" t="inlineStr">
        <is>
          <t>ÖDESHÖG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45407</v>
      </c>
      <c r="E81" s="1" t="n">
        <v>46282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46059-2025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46282</v>
      </c>
      <c r="F82" t="inlineStr">
        <is>
          <t>ÖSTERGÖTLANDS LÄN</t>
        </is>
      </c>
      <c r="G82" t="inlineStr">
        <is>
          <t>ÖDESHÖG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46282</v>
      </c>
      <c r="F83" t="inlineStr">
        <is>
          <t>ÖSTERGÖTLANDS LÄN</t>
        </is>
      </c>
      <c r="G83" t="inlineStr">
        <is>
          <t>ÖDESHÖG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46282</v>
      </c>
      <c r="F84" t="inlineStr">
        <is>
          <t>ÖSTERGÖTLANDS LÄN</t>
        </is>
      </c>
      <c r="G84" t="inlineStr">
        <is>
          <t>ÖDESHÖG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46282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46282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46282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9.5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45699</v>
      </c>
      <c r="E88" s="1" t="n">
        <v>46282</v>
      </c>
      <c r="F88" t="inlineStr">
        <is>
          <t>ÖSTERGÖTLANDS LÄN</t>
        </is>
      </c>
      <c r="G88" t="inlineStr">
        <is>
          <t>ÖDESHÖG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45512</v>
      </c>
      <c r="E89" s="1" t="n">
        <v>46282</v>
      </c>
      <c r="F89" t="inlineStr">
        <is>
          <t>ÖSTERGÖTLANDS LÄN</t>
        </is>
      </c>
      <c r="G89" t="inlineStr">
        <is>
          <t>ÖDESHÖG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48063-2025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46282</v>
      </c>
      <c r="F90" t="inlineStr">
        <is>
          <t>ÖSTERGÖTLANDS LÄN</t>
        </is>
      </c>
      <c r="G90" t="inlineStr">
        <is>
          <t>ÖDESHÖG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46282</v>
      </c>
      <c r="F91" t="inlineStr">
        <is>
          <t>ÖSTERGÖTLANDS LÄN</t>
        </is>
      </c>
      <c r="G91" t="inlineStr">
        <is>
          <t>ÖDESHÖG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46282</v>
      </c>
      <c r="F92" t="inlineStr">
        <is>
          <t>ÖSTERGÖTLANDS LÄN</t>
        </is>
      </c>
      <c r="G92" t="inlineStr">
        <is>
          <t>ÖDESHÖG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46282</v>
      </c>
      <c r="F93" t="inlineStr">
        <is>
          <t>ÖSTERGÖTLANDS LÄN</t>
        </is>
      </c>
      <c r="G93" t="inlineStr">
        <is>
          <t>ÖDESHÖG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45944</v>
      </c>
      <c r="E94" s="1" t="n">
        <v>46282</v>
      </c>
      <c r="F94" t="inlineStr">
        <is>
          <t>ÖSTERGÖTLANDS LÄN</t>
        </is>
      </c>
      <c r="G94" t="inlineStr">
        <is>
          <t>ÖDESHÖG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45049</v>
      </c>
      <c r="E95" s="1" t="n">
        <v>46282</v>
      </c>
      <c r="F95" t="inlineStr">
        <is>
          <t>ÖSTERGÖTLANDS LÄN</t>
        </is>
      </c>
      <c r="G95" t="inlineStr">
        <is>
          <t>ÖDESHÖG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51171-2025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45947</v>
      </c>
      <c r="E96" s="1" t="n">
        <v>46282</v>
      </c>
      <c r="F96" t="inlineStr">
        <is>
          <t>ÖSTERGÖTLANDS LÄN</t>
        </is>
      </c>
      <c r="G96" t="inlineStr">
        <is>
          <t>ÖDESHÖG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45950</v>
      </c>
      <c r="E97" s="1" t="n">
        <v>46282</v>
      </c>
      <c r="F97" t="inlineStr">
        <is>
          <t>ÖSTERGÖTLANDS LÄN</t>
        </is>
      </c>
      <c r="G97" t="inlineStr">
        <is>
          <t>ÖDESHÖG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45512</v>
      </c>
      <c r="E98" s="1" t="n">
        <v>46282</v>
      </c>
      <c r="F98" t="inlineStr">
        <is>
          <t>ÖSTERGÖTLANDS LÄN</t>
        </is>
      </c>
      <c r="G98" t="inlineStr">
        <is>
          <t>ÖDESHÖG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46282</v>
      </c>
      <c r="F99" t="inlineStr">
        <is>
          <t>ÖSTERGÖTLANDS LÄN</t>
        </is>
      </c>
      <c r="G99" t="inlineStr">
        <is>
          <t>ÖDESHÖG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46282</v>
      </c>
      <c r="F100" t="inlineStr">
        <is>
          <t>ÖSTERGÖTLANDS LÄN</t>
        </is>
      </c>
      <c r="G100" t="inlineStr">
        <is>
          <t>ÖDESHÖG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7375-2026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46282</v>
      </c>
      <c r="F101" t="inlineStr">
        <is>
          <t>ÖSTERGÖTLANDS LÄN</t>
        </is>
      </c>
      <c r="G101" t="inlineStr">
        <is>
          <t>ÖDESHÖG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45163</v>
      </c>
      <c r="E102" s="1" t="n">
        <v>46282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46062</v>
      </c>
      <c r="E103" s="1" t="n">
        <v>46282</v>
      </c>
      <c r="F103" t="inlineStr">
        <is>
          <t>ÖSTERGÖTLANDS LÄN</t>
        </is>
      </c>
      <c r="G103" t="inlineStr">
        <is>
          <t>ÖDESHÖG</t>
        </is>
      </c>
      <c r="I103" t="n">
        <v>13.4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45519</v>
      </c>
      <c r="E104" s="1" t="n">
        <v>46282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45776</v>
      </c>
      <c r="E105" s="1" t="n">
        <v>46282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46282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46282</v>
      </c>
      <c r="F107" t="inlineStr">
        <is>
          <t>ÖSTERGÖTLANDS LÄN</t>
        </is>
      </c>
      <c r="G107" t="inlineStr">
        <is>
          <t>ÖDESHÖG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43263-2023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45183</v>
      </c>
      <c r="E108" s="1" t="n">
        <v>46282</v>
      </c>
      <c r="F108" t="inlineStr">
        <is>
          <t>ÖSTERGÖTLANDS LÄN</t>
        </is>
      </c>
      <c r="G108" t="inlineStr">
        <is>
          <t>ÖDESHÖG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46282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46282</v>
      </c>
      <c r="F110" t="inlineStr">
        <is>
          <t>ÖSTERGÖTLANDS LÄN</t>
        </is>
      </c>
      <c r="G110" t="inlineStr">
        <is>
          <t>ÖDESHÖG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45161</v>
      </c>
      <c r="E111" s="1" t="n">
        <v>46282</v>
      </c>
      <c r="F111" t="inlineStr">
        <is>
          <t>ÖSTERGÖTLANDS LÄN</t>
        </is>
      </c>
      <c r="G111" t="inlineStr">
        <is>
          <t>ÖDESHÖG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45678</v>
      </c>
      <c r="E112" s="1" t="n">
        <v>46282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18.6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15907-2024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45405</v>
      </c>
      <c r="E113" s="1" t="n">
        <v>46282</v>
      </c>
      <c r="F113" t="inlineStr">
        <is>
          <t>ÖSTERGÖTLANDS LÄN</t>
        </is>
      </c>
      <c r="G113" t="inlineStr">
        <is>
          <t>ÖDESHÖG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15915-2024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45405</v>
      </c>
      <c r="E114" s="1" t="n">
        <v>46282</v>
      </c>
      <c r="F114" t="inlineStr">
        <is>
          <t>ÖSTERGÖTLANDS LÄN</t>
        </is>
      </c>
      <c r="G114" t="inlineStr">
        <is>
          <t>ÖDESHÖG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46282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46282</v>
      </c>
      <c r="F116" t="inlineStr">
        <is>
          <t>ÖSTERGÖTLANDS LÄN</t>
        </is>
      </c>
      <c r="G116" t="inlineStr">
        <is>
          <t>ÖDESHÖG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8063-2025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45707</v>
      </c>
      <c r="E117" s="1" t="n">
        <v>46282</v>
      </c>
      <c r="F117" t="inlineStr">
        <is>
          <t>ÖSTERGÖTLANDS LÄN</t>
        </is>
      </c>
      <c r="G117" t="inlineStr">
        <is>
          <t>ÖDESHÖG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46282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46282</v>
      </c>
      <c r="F119" t="inlineStr">
        <is>
          <t>ÖSTERGÖTLANDS LÄN</t>
        </is>
      </c>
      <c r="G119" t="inlineStr">
        <is>
          <t>ÖDESHÖG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46282</v>
      </c>
      <c r="F120" t="inlineStr">
        <is>
          <t>ÖSTERGÖTLANDS LÄN</t>
        </is>
      </c>
      <c r="G120" t="inlineStr">
        <is>
          <t>ÖDESHÖG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46282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46282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46282</v>
      </c>
      <c r="F123" t="inlineStr">
        <is>
          <t>ÖSTERGÖTLANDS LÄN</t>
        </is>
      </c>
      <c r="G123" t="inlineStr">
        <is>
          <t>ÖDESHÖG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45516</v>
      </c>
      <c r="E124" s="1" t="n">
        <v>46282</v>
      </c>
      <c r="F124" t="inlineStr">
        <is>
          <t>ÖSTERGÖTLANDS LÄN</t>
        </is>
      </c>
      <c r="G124" t="inlineStr">
        <is>
          <t>ÖDESHÖG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12872-2026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46092</v>
      </c>
      <c r="E125" s="1" t="n">
        <v>46282</v>
      </c>
      <c r="F125" t="inlineStr">
        <is>
          <t>ÖSTERGÖTLANDS LÄN</t>
        </is>
      </c>
      <c r="G125" t="inlineStr">
        <is>
          <t>ÖDESHÖG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46282</v>
      </c>
      <c r="F126" t="inlineStr">
        <is>
          <t>ÖSTERGÖTLANDS LÄN</t>
        </is>
      </c>
      <c r="G126" t="inlineStr">
        <is>
          <t>ÖDESHÖG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46282</v>
      </c>
      <c r="F127" t="inlineStr">
        <is>
          <t>ÖSTERGÖTLANDS LÄN</t>
        </is>
      </c>
      <c r="G127" t="inlineStr">
        <is>
          <t>ÖDESHÖG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46007</v>
      </c>
      <c r="E128" s="1" t="n">
        <v>46282</v>
      </c>
      <c r="F128" t="inlineStr">
        <is>
          <t>ÖSTERGÖTLANDS LÄN</t>
        </is>
      </c>
      <c r="G128" t="inlineStr">
        <is>
          <t>ÖDESHÖG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46282</v>
      </c>
      <c r="F129" t="inlineStr">
        <is>
          <t>ÖSTERGÖTLANDS LÄN</t>
        </is>
      </c>
      <c r="G129" t="inlineStr">
        <is>
          <t>ÖDESHÖG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62801-2025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46008</v>
      </c>
      <c r="E130" s="1" t="n">
        <v>46282</v>
      </c>
      <c r="F130" t="inlineStr">
        <is>
          <t>ÖSTERGÖTLANDS LÄN</t>
        </is>
      </c>
      <c r="G130" t="inlineStr">
        <is>
          <t>ÖDESHÖG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46092</v>
      </c>
      <c r="E131" s="1" t="n">
        <v>46282</v>
      </c>
      <c r="F131" t="inlineStr">
        <is>
          <t>ÖSTERGÖTLANDS LÄN</t>
        </is>
      </c>
      <c r="G131" t="inlineStr">
        <is>
          <t>ÖDESHÖG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46282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15.4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46282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45412</v>
      </c>
      <c r="E134" s="1" t="n">
        <v>46282</v>
      </c>
      <c r="F134" t="inlineStr">
        <is>
          <t>ÖSTERGÖTLANDS LÄN</t>
        </is>
      </c>
      <c r="G134" t="inlineStr">
        <is>
          <t>ÖDESHÖG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46282</v>
      </c>
      <c r="F135" t="inlineStr">
        <is>
          <t>ÖSTERGÖTLANDS LÄN</t>
        </is>
      </c>
      <c r="G135" t="inlineStr">
        <is>
          <t>ÖDESHÖG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46282</v>
      </c>
      <c r="F136" t="inlineStr">
        <is>
          <t>ÖSTERGÖTLANDS LÄN</t>
        </is>
      </c>
      <c r="G136" t="inlineStr">
        <is>
          <t>ÖDESHÖG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21771-2023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45065</v>
      </c>
      <c r="E137" s="1" t="n">
        <v>46282</v>
      </c>
      <c r="F137" t="inlineStr">
        <is>
          <t>ÖSTERGÖTLANDS LÄN</t>
        </is>
      </c>
      <c r="G137" t="inlineStr">
        <is>
          <t>ÖDESHÖG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46282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64802-2021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44512</v>
      </c>
      <c r="E139" s="1" t="n">
        <v>46282</v>
      </c>
      <c r="F139" t="inlineStr">
        <is>
          <t>ÖSTERGÖTLANDS LÄN</t>
        </is>
      </c>
      <c r="G139" t="inlineStr">
        <is>
          <t>ÖDESHÖG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46111</v>
      </c>
      <c r="E140" s="1" t="n">
        <v>46282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16402-2026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46282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46282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46282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46282</v>
      </c>
      <c r="F144" t="inlineStr">
        <is>
          <t>ÖSTERGÖTLANDS LÄN</t>
        </is>
      </c>
      <c r="G144" t="inlineStr">
        <is>
          <t>ÖDESHÖG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16259-2026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46109</v>
      </c>
      <c r="E145" s="1" t="n">
        <v>46282</v>
      </c>
      <c r="F145" t="inlineStr">
        <is>
          <t>ÖSTERGÖTLANDS LÄN</t>
        </is>
      </c>
      <c r="G145" t="inlineStr">
        <is>
          <t>ÖDESHÖG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46109</v>
      </c>
      <c r="E146" s="1" t="n">
        <v>46282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46122</v>
      </c>
      <c r="E147" s="1" t="n">
        <v>46282</v>
      </c>
      <c r="F147" t="inlineStr">
        <is>
          <t>ÖSTERGÖTLANDS LÄN</t>
        </is>
      </c>
      <c r="G147" t="inlineStr">
        <is>
          <t>ÖDESHÖG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51180-2024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45603</v>
      </c>
      <c r="E148" s="1" t="n">
        <v>46282</v>
      </c>
      <c r="F148" t="inlineStr">
        <is>
          <t>ÖSTERGÖTLANDS LÄN</t>
        </is>
      </c>
      <c r="G148" t="inlineStr">
        <is>
          <t>ÖDESHÖG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45145</v>
      </c>
      <c r="E149" s="1" t="n">
        <v>46282</v>
      </c>
      <c r="F149" t="inlineStr">
        <is>
          <t>ÖSTERGÖTLANDS LÄN</t>
        </is>
      </c>
      <c r="G149" t="inlineStr">
        <is>
          <t>ÖDESHÖG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45603</v>
      </c>
      <c r="E150" s="1" t="n">
        <v>46282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19157-2023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45048</v>
      </c>
      <c r="E151" s="1" t="n">
        <v>46282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46282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45027</v>
      </c>
      <c r="E153" s="1" t="n">
        <v>46282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46282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45203</v>
      </c>
      <c r="E155" s="1" t="n">
        <v>46282</v>
      </c>
      <c r="F155" t="inlineStr">
        <is>
          <t>ÖSTERGÖTLANDS LÄN</t>
        </is>
      </c>
      <c r="G155" t="inlineStr">
        <is>
          <t>ÖDESHÖG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46282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45009</v>
      </c>
      <c r="E157" s="1" t="n">
        <v>46282</v>
      </c>
      <c r="F157" t="inlineStr">
        <is>
          <t>ÖSTERGÖTLANDS LÄN</t>
        </is>
      </c>
      <c r="G157" t="inlineStr">
        <is>
          <t>ÖDESHÖG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46282</v>
      </c>
      <c r="F158" t="inlineStr">
        <is>
          <t>ÖSTERGÖTLANDS LÄN</t>
        </is>
      </c>
      <c r="G158" t="inlineStr">
        <is>
          <t>ÖDESHÖG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10335-2022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46282</v>
      </c>
      <c r="F159" t="inlineStr">
        <is>
          <t>ÖSTERGÖTLANDS LÄN</t>
        </is>
      </c>
      <c r="G159" t="inlineStr">
        <is>
          <t>ÖDESHÖG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46282</v>
      </c>
      <c r="F160" t="inlineStr">
        <is>
          <t>ÖSTERGÖTLANDS LÄN</t>
        </is>
      </c>
      <c r="G160" t="inlineStr">
        <is>
          <t>ÖDESHÖG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46282</v>
      </c>
      <c r="F161" t="inlineStr">
        <is>
          <t>ÖSTERGÖTLANDS LÄN</t>
        </is>
      </c>
      <c r="G161" t="inlineStr">
        <is>
          <t>ÖDESHÖG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44700</v>
      </c>
      <c r="E162" s="1" t="n">
        <v>46282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46282</v>
      </c>
      <c r="F163" t="inlineStr">
        <is>
          <t>ÖSTERGÖTLANDS LÄN</t>
        </is>
      </c>
      <c r="G163" t="inlineStr">
        <is>
          <t>ÖDESHÖG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46282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45700</v>
      </c>
      <c r="E165" s="1" t="n">
        <v>46282</v>
      </c>
      <c r="F165" t="inlineStr">
        <is>
          <t>ÖSTERGÖTLANDS LÄN</t>
        </is>
      </c>
      <c r="G165" t="inlineStr">
        <is>
          <t>ÖDESHÖG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37843-2023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46282</v>
      </c>
      <c r="F166" t="inlineStr">
        <is>
          <t>ÖSTERGÖTLANDS LÄN</t>
        </is>
      </c>
      <c r="G166" t="inlineStr">
        <is>
          <t>ÖDESHÖG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46282</v>
      </c>
      <c r="F167" t="inlineStr">
        <is>
          <t>ÖSTERGÖTLANDS LÄN</t>
        </is>
      </c>
      <c r="G167" t="inlineStr">
        <is>
          <t>ÖDESHÖG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46282</v>
      </c>
      <c r="F168" t="inlineStr">
        <is>
          <t>ÖSTERGÖTLANDS LÄN</t>
        </is>
      </c>
      <c r="G168" t="inlineStr">
        <is>
          <t>ÖDESHÖG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46009</v>
      </c>
      <c r="E169" s="1" t="n">
        <v>46282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45331</v>
      </c>
      <c r="E170" s="1" t="n">
        <v>46282</v>
      </c>
      <c r="F170" t="inlineStr">
        <is>
          <t>ÖSTERGÖTLANDS LÄN</t>
        </is>
      </c>
      <c r="G170" t="inlineStr">
        <is>
          <t>ÖDESHÖG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46282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46282</v>
      </c>
      <c r="F172" t="inlineStr">
        <is>
          <t>ÖSTERGÖTLANDS LÄN</t>
        </is>
      </c>
      <c r="G172" t="inlineStr">
        <is>
          <t>ÖDESHÖG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63115-2025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46282</v>
      </c>
      <c r="F173" t="inlineStr">
        <is>
          <t>ÖSTERGÖTLANDS LÄN</t>
        </is>
      </c>
      <c r="G173" t="inlineStr">
        <is>
          <t>ÖDESHÖG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45313</v>
      </c>
      <c r="E174" s="1" t="n">
        <v>46282</v>
      </c>
      <c r="F174" t="inlineStr">
        <is>
          <t>ÖSTERGÖTLANDS LÄN</t>
        </is>
      </c>
      <c r="G174" t="inlineStr">
        <is>
          <t>ÖDESHÖG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46282</v>
      </c>
      <c r="F175" t="inlineStr">
        <is>
          <t>ÖSTERGÖTLANDS LÄN</t>
        </is>
      </c>
      <c r="G175" t="inlineStr">
        <is>
          <t>ÖDESHÖG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46282</v>
      </c>
      <c r="F176" t="inlineStr">
        <is>
          <t>ÖSTERGÖTLANDS LÄN</t>
        </is>
      </c>
      <c r="G176" t="inlineStr">
        <is>
          <t>ÖDESHÖG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36730-2023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46282</v>
      </c>
      <c r="F177" t="inlineStr">
        <is>
          <t>ÖSTERGÖTLANDS LÄN</t>
        </is>
      </c>
      <c r="G177" t="inlineStr">
        <is>
          <t>ÖDESHÖG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45027</v>
      </c>
      <c r="E178" s="1" t="n">
        <v>46282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21770-2023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45065</v>
      </c>
      <c r="E179" s="1" t="n">
        <v>46282</v>
      </c>
      <c r="F179" t="inlineStr">
        <is>
          <t>ÖSTERGÖTLANDS LÄN</t>
        </is>
      </c>
      <c r="G179" t="inlineStr">
        <is>
          <t>ÖDESHÖG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36099-2024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45533</v>
      </c>
      <c r="E180" s="1" t="n">
        <v>46282</v>
      </c>
      <c r="F180" t="inlineStr">
        <is>
          <t>ÖSTERGÖTLANDS LÄN</t>
        </is>
      </c>
      <c r="G180" t="inlineStr">
        <is>
          <t>ÖDESHÖG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46282</v>
      </c>
      <c r="F181" t="inlineStr">
        <is>
          <t>ÖSTERGÖTLANDS LÄN</t>
        </is>
      </c>
      <c r="G181" t="inlineStr">
        <is>
          <t>ÖDESHÖG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61011-2024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45645</v>
      </c>
      <c r="E182" s="1" t="n">
        <v>46282</v>
      </c>
      <c r="F182" t="inlineStr">
        <is>
          <t>ÖSTERGÖTLANDS LÄN</t>
        </is>
      </c>
      <c r="G182" t="inlineStr">
        <is>
          <t>ÖDESHÖG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46282</v>
      </c>
      <c r="F183" t="inlineStr">
        <is>
          <t>ÖSTERGÖTLANDS LÄN</t>
        </is>
      </c>
      <c r="G183" t="inlineStr">
        <is>
          <t>ÖDESHÖG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46282</v>
      </c>
      <c r="F184" t="inlineStr">
        <is>
          <t>ÖSTERGÖTLANDS LÄN</t>
        </is>
      </c>
      <c r="G184" t="inlineStr">
        <is>
          <t>ÖDESHÖG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46282</v>
      </c>
      <c r="F185" t="inlineStr">
        <is>
          <t>ÖSTERGÖTLANDS LÄN</t>
        </is>
      </c>
      <c r="G185" t="inlineStr">
        <is>
          <t>ÖDESHÖG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15906-2024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45405</v>
      </c>
      <c r="E186" s="1" t="n">
        <v>46282</v>
      </c>
      <c r="F186" t="inlineStr">
        <is>
          <t>ÖSTERGÖTLANDS LÄN</t>
        </is>
      </c>
      <c r="G186" t="inlineStr">
        <is>
          <t>ÖDESHÖG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46282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30945-2023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45113</v>
      </c>
      <c r="E188" s="1" t="n">
        <v>46282</v>
      </c>
      <c r="F188" t="inlineStr">
        <is>
          <t>ÖSTERGÖTLANDS LÄN</t>
        </is>
      </c>
      <c r="G188" t="inlineStr">
        <is>
          <t>ÖDESHÖG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46282</v>
      </c>
      <c r="F189" t="inlineStr">
        <is>
          <t>ÖSTERGÖTLANDS LÄN</t>
        </is>
      </c>
      <c r="G189" t="inlineStr">
        <is>
          <t>ÖDESHÖG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46282</v>
      </c>
      <c r="F190" t="inlineStr">
        <is>
          <t>ÖSTERGÖTLANDS LÄN</t>
        </is>
      </c>
      <c r="G190" t="inlineStr">
        <is>
          <t>ÖDESHÖG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46282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46282</v>
      </c>
      <c r="F192" t="inlineStr">
        <is>
          <t>ÖSTERGÖTLANDS LÄN</t>
        </is>
      </c>
      <c r="G192" t="inlineStr">
        <is>
          <t>ÖDESHÖG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48325-2022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44858</v>
      </c>
      <c r="E193" s="1" t="n">
        <v>46282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25975-2026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46282</v>
      </c>
      <c r="F194" t="inlineStr">
        <is>
          <t>ÖSTERGÖTLANDS LÄN</t>
        </is>
      </c>
      <c r="G194" t="inlineStr">
        <is>
          <t>ÖDESHÖG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46282</v>
      </c>
      <c r="F195" t="inlineStr">
        <is>
          <t>ÖSTERGÖTLANDS LÄN</t>
        </is>
      </c>
      <c r="G195" t="inlineStr">
        <is>
          <t>ÖDESHÖG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46282</v>
      </c>
      <c r="F196" t="inlineStr">
        <is>
          <t>ÖSTERGÖTLANDS LÄN</t>
        </is>
      </c>
      <c r="G196" t="inlineStr">
        <is>
          <t>ÖDESHÖG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46282</v>
      </c>
      <c r="F197" t="inlineStr">
        <is>
          <t>ÖSTERGÖTLANDS LÄN</t>
        </is>
      </c>
      <c r="G197" t="inlineStr">
        <is>
          <t>ÖDESHÖG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46282</v>
      </c>
      <c r="F198" t="inlineStr">
        <is>
          <t>ÖSTERGÖTLANDS LÄN</t>
        </is>
      </c>
      <c r="G198" t="inlineStr">
        <is>
          <t>ÖDESHÖG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44992</v>
      </c>
      <c r="E199" s="1" t="n">
        <v>46282</v>
      </c>
      <c r="F199" t="inlineStr">
        <is>
          <t>ÖSTERGÖTLANDS LÄN</t>
        </is>
      </c>
      <c r="G199" t="inlineStr">
        <is>
          <t>ÖDESHÖG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46282</v>
      </c>
      <c r="F200" t="inlineStr">
        <is>
          <t>ÖSTERGÖTLANDS LÄN</t>
        </is>
      </c>
      <c r="G200" t="inlineStr">
        <is>
          <t>ÖDESHÖG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45491</v>
      </c>
      <c r="E201" s="1" t="n">
        <v>46282</v>
      </c>
      <c r="F201" t="inlineStr">
        <is>
          <t>ÖSTERGÖTLANDS LÄN</t>
        </is>
      </c>
      <c r="G201" t="inlineStr">
        <is>
          <t>ÖDESHÖG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45146</v>
      </c>
      <c r="E202" s="1" t="n">
        <v>46282</v>
      </c>
      <c r="F202" t="inlineStr">
        <is>
          <t>ÖSTERGÖTLANDS LÄN</t>
        </is>
      </c>
      <c r="G202" t="inlineStr">
        <is>
          <t>ÖDESHÖG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54419-2024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46282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22.7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46282</v>
      </c>
      <c r="F204" t="inlineStr">
        <is>
          <t>ÖSTERGÖTLANDS LÄN</t>
        </is>
      </c>
      <c r="G204" t="inlineStr">
        <is>
          <t>ÖDESHÖG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46198</v>
      </c>
      <c r="E205" s="1" t="n">
        <v>46282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34961-2022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44796</v>
      </c>
      <c r="E206" s="1" t="n">
        <v>46282</v>
      </c>
      <c r="F206" t="inlineStr">
        <is>
          <t>ÖSTERGÖTLANDS LÄN</t>
        </is>
      </c>
      <c r="G206" t="inlineStr">
        <is>
          <t>ÖDESHÖG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46282</v>
      </c>
      <c r="F207" t="inlineStr">
        <is>
          <t>ÖSTERGÖTLANDS LÄN</t>
        </is>
      </c>
      <c r="G207" t="inlineStr">
        <is>
          <t>ÖDESHÖG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45471</v>
      </c>
      <c r="E208" s="1" t="n">
        <v>46282</v>
      </c>
      <c r="F208" t="inlineStr">
        <is>
          <t>ÖSTERGÖTLANDS LÄN</t>
        </is>
      </c>
      <c r="G208" t="inlineStr">
        <is>
          <t>ÖDESHÖG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46199</v>
      </c>
      <c r="E209" s="1" t="n">
        <v>46282</v>
      </c>
      <c r="F209" t="inlineStr">
        <is>
          <t>ÖSTERGÖTLANDS LÄN</t>
        </is>
      </c>
      <c r="G209" t="inlineStr">
        <is>
          <t>ÖDESHÖG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45699</v>
      </c>
      <c r="E210" s="1" t="n">
        <v>46282</v>
      </c>
      <c r="F210" t="inlineStr">
        <is>
          <t>ÖSTERGÖTLANDS LÄN</t>
        </is>
      </c>
      <c r="G210" t="inlineStr">
        <is>
          <t>ÖDESHÖG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39190-2023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45166</v>
      </c>
      <c r="E211" s="1" t="n">
        <v>46282</v>
      </c>
      <c r="F211" t="inlineStr">
        <is>
          <t>ÖSTERGÖTLANDS LÄN</t>
        </is>
      </c>
      <c r="G211" t="inlineStr">
        <is>
          <t>ÖDESHÖG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46282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46282</v>
      </c>
      <c r="F213" t="inlineStr">
        <is>
          <t>ÖSTERGÖTLANDS LÄN</t>
        </is>
      </c>
      <c r="G213" t="inlineStr">
        <is>
          <t>ÖDESHÖG</t>
        </is>
      </c>
      <c r="H213" t="inlineStr">
        <is>
          <t>Sveaskog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45015</v>
      </c>
      <c r="E214" s="1" t="n">
        <v>46282</v>
      </c>
      <c r="F214" t="inlineStr">
        <is>
          <t>ÖSTERGÖTLANDS LÄN</t>
        </is>
      </c>
      <c r="G214" t="inlineStr">
        <is>
          <t>ÖDESHÖG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46282</v>
      </c>
      <c r="F215" t="inlineStr">
        <is>
          <t>ÖSTERGÖTLANDS LÄN</t>
        </is>
      </c>
      <c r="G215" t="inlineStr">
        <is>
          <t>ÖDESHÖG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45049</v>
      </c>
      <c r="E216" s="1" t="n">
        <v>46282</v>
      </c>
      <c r="F216" t="inlineStr">
        <is>
          <t>ÖSTERGÖTLANDS LÄN</t>
        </is>
      </c>
      <c r="G216" t="inlineStr">
        <is>
          <t>ÖDESHÖG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46282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46282</v>
      </c>
      <c r="F218" t="inlineStr">
        <is>
          <t>ÖSTERGÖTLANDS LÄN</t>
        </is>
      </c>
      <c r="G218" t="inlineStr">
        <is>
          <t>ÖDESHÖG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46282</v>
      </c>
      <c r="F219" t="inlineStr">
        <is>
          <t>ÖSTERGÖTLANDS LÄN</t>
        </is>
      </c>
      <c r="G219" t="inlineStr">
        <is>
          <t>ÖDESHÖG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46282</v>
      </c>
      <c r="F220" t="inlineStr">
        <is>
          <t>ÖSTERGÖTLANDS LÄN</t>
        </is>
      </c>
      <c r="G220" t="inlineStr">
        <is>
          <t>ÖDESHÖG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44999</v>
      </c>
      <c r="E221" s="1" t="n">
        <v>46282</v>
      </c>
      <c r="F221" t="inlineStr">
        <is>
          <t>ÖSTERGÖTLANDS LÄN</t>
        </is>
      </c>
      <c r="G221" t="inlineStr">
        <is>
          <t>ÖDESHÖG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46282</v>
      </c>
      <c r="F222" t="inlineStr">
        <is>
          <t>ÖSTERGÖTLANDS LÄN</t>
        </is>
      </c>
      <c r="G222" t="inlineStr">
        <is>
          <t>ÖDESHÖG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46282</v>
      </c>
      <c r="F223" t="inlineStr">
        <is>
          <t>ÖSTERGÖTLANDS LÄN</t>
        </is>
      </c>
      <c r="G223" t="inlineStr">
        <is>
          <t>ÖDESHÖG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14736-2024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45397</v>
      </c>
      <c r="E224" s="1" t="n">
        <v>46282</v>
      </c>
      <c r="F224" t="inlineStr">
        <is>
          <t>ÖSTERGÖTLANDS LÄN</t>
        </is>
      </c>
      <c r="G224" t="inlineStr">
        <is>
          <t>ÖDESHÖG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46282</v>
      </c>
      <c r="F225" t="inlineStr">
        <is>
          <t>ÖSTERGÖTLANDS LÄN</t>
        </is>
      </c>
      <c r="G225" t="inlineStr">
        <is>
          <t>ÖDESHÖG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45491</v>
      </c>
      <c r="E226" s="1" t="n">
        <v>46282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46272</v>
      </c>
      <c r="E227" s="1" t="n">
        <v>46282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Allmännings- och besparingsskogar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44709</v>
      </c>
      <c r="E228" s="1" t="n">
        <v>46282</v>
      </c>
      <c r="F228" t="inlineStr">
        <is>
          <t>ÖSTERGÖTLANDS LÄN</t>
        </is>
      </c>
      <c r="G228" t="inlineStr">
        <is>
          <t>ÖDESHÖG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72603-2021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44546</v>
      </c>
      <c r="E229" s="1" t="n">
        <v>46282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46275</v>
      </c>
      <c r="E230" s="1" t="n">
        <v>46282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16.5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46282</v>
      </c>
      <c r="F231" t="inlineStr">
        <is>
          <t>ÖSTERGÖTLANDS LÄN</t>
        </is>
      </c>
      <c r="G231" t="inlineStr">
        <is>
          <t>ÖDESHÖG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46275</v>
      </c>
      <c r="E232" s="1" t="n">
        <v>46282</v>
      </c>
      <c r="F232" t="inlineStr">
        <is>
          <t>ÖSTERGÖTLANDS LÄN</t>
        </is>
      </c>
      <c r="G232" t="inlineStr">
        <is>
          <t>ÖDESHÖG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45014</v>
      </c>
      <c r="E233" s="1" t="n">
        <v>46282</v>
      </c>
      <c r="F233" t="inlineStr">
        <is>
          <t>ÖSTERGÖTLANDS LÄN</t>
        </is>
      </c>
      <c r="G233" t="inlineStr">
        <is>
          <t>ÖDESHÖG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45203</v>
      </c>
      <c r="E234" s="1" t="n">
        <v>46282</v>
      </c>
      <c r="F234" t="inlineStr">
        <is>
          <t>ÖSTERGÖTLANDS LÄN</t>
        </is>
      </c>
      <c r="G234" t="inlineStr">
        <is>
          <t>ÖDESHÖG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46275</v>
      </c>
      <c r="E235" s="1" t="n">
        <v>46282</v>
      </c>
      <c r="F235" t="inlineStr">
        <is>
          <t>ÖSTERGÖTLANDS LÄN</t>
        </is>
      </c>
      <c r="G235" t="inlineStr">
        <is>
          <t>ÖDESHÖG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46280</v>
      </c>
      <c r="E236" s="1" t="n">
        <v>46282</v>
      </c>
      <c r="F236" t="inlineStr">
        <is>
          <t>ÖSTERGÖTLANDS LÄN</t>
        </is>
      </c>
      <c r="G236" t="inlineStr">
        <is>
          <t>ÖDESHÖG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46282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46282</v>
      </c>
      <c r="F238" t="inlineStr">
        <is>
          <t>ÖSTERGÖTLANDS LÄN</t>
        </is>
      </c>
      <c r="G238" t="inlineStr">
        <is>
          <t>ÖDESHÖG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46282</v>
      </c>
      <c r="F239" t="inlineStr">
        <is>
          <t>ÖSTERGÖTLANDS LÄN</t>
        </is>
      </c>
      <c r="G239" t="inlineStr">
        <is>
          <t>ÖDESHÖG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45217</v>
      </c>
      <c r="E240" s="1" t="n">
        <v>46282</v>
      </c>
      <c r="F240" t="inlineStr">
        <is>
          <t>ÖSTERGÖTLANDS LÄN</t>
        </is>
      </c>
      <c r="G240" t="inlineStr">
        <is>
          <t>ÖDESHÖG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46282</v>
      </c>
      <c r="F241" t="inlineStr">
        <is>
          <t>ÖSTERGÖTLANDS LÄN</t>
        </is>
      </c>
      <c r="G241" t="inlineStr">
        <is>
          <t>ÖDESHÖG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899-2024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45376</v>
      </c>
      <c r="E242" s="1" t="n">
        <v>46282</v>
      </c>
      <c r="F242" t="inlineStr">
        <is>
          <t>ÖSTERGÖTLANDS LÄN</t>
        </is>
      </c>
      <c r="G242" t="inlineStr">
        <is>
          <t>ÖDESHÖG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6457-2022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44879</v>
      </c>
      <c r="E243" s="1" t="n">
        <v>46282</v>
      </c>
      <c r="F243" t="inlineStr">
        <is>
          <t>ÖSTERGÖTLANDS LÄN</t>
        </is>
      </c>
      <c r="G243" t="inlineStr">
        <is>
          <t>ÖDESHÖG</t>
        </is>
      </c>
      <c r="H243" t="inlineStr">
        <is>
          <t>Allmännings- och besparingsskogar</t>
        </is>
      </c>
      <c r="I243" t="n">
        <v>101.8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2026-09-17T02:00:18Z</dcterms:created>
  <dcterms:modified xmlns:dcterms="http://purl.org/dc/terms/" xmlns:xsi="http://www.w3.org/2001/XMLSchema-instance" xsi:type="dcterms:W3CDTF">2026-09-17T02:00:18Z</dcterms:modified>
</cp:coreProperties>
</file>