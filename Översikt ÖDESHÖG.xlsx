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22876-2024</t>
        </is>
      </c>
      <c r="B2" s="1" t="n">
        <v>45448</v>
      </c>
      <c r="C2" s="1" t="n">
        <v>45706</v>
      </c>
      <c r="D2" t="inlineStr">
        <is>
          <t>ÖSTERGÖTLANDS LÄN</t>
        </is>
      </c>
      <c r="E2" t="inlineStr">
        <is>
          <t>ÖDESHÖG</t>
        </is>
      </c>
      <c r="G2" t="n">
        <v>5</v>
      </c>
      <c r="H2" t="n">
        <v>2</v>
      </c>
      <c r="I2" t="n">
        <v>3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6</v>
      </c>
      <c r="R2" s="2" t="inlineStr">
        <is>
          <t>Slåtterfibbla
Svart trolldruva
Tibast
Underviol
Blåsippa
Gullviva</t>
        </is>
      </c>
      <c r="S2">
        <f>HYPERLINK("https://klasma.github.io/Logging_0509/artfynd/A 22876-2024 artfynd.xlsx", "A 22876-2024")</f>
        <v/>
      </c>
      <c r="T2">
        <f>HYPERLINK("https://klasma.github.io/Logging_0509/kartor/A 22876-2024 karta.png", "A 22876-2024")</f>
        <v/>
      </c>
      <c r="V2">
        <f>HYPERLINK("https://klasma.github.io/Logging_0509/klagomål/A 22876-2024 FSC-klagomål.docx", "A 22876-2024")</f>
        <v/>
      </c>
      <c r="W2">
        <f>HYPERLINK("https://klasma.github.io/Logging_0509/klagomålsmail/A 22876-2024 FSC-klagomål mail.docx", "A 22876-2024")</f>
        <v/>
      </c>
      <c r="X2">
        <f>HYPERLINK("https://klasma.github.io/Logging_0509/tillsyn/A 22876-2024 tillsynsbegäran.docx", "A 22876-2024")</f>
        <v/>
      </c>
      <c r="Y2">
        <f>HYPERLINK("https://klasma.github.io/Logging_0509/tillsynsmail/A 22876-2024 tillsynsbegäran mail.docx", "A 22876-2024")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45706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20300-2019</t>
        </is>
      </c>
      <c r="B4" s="1" t="n">
        <v>43570</v>
      </c>
      <c r="C4" s="1" t="n">
        <v>45706</v>
      </c>
      <c r="D4" t="inlineStr">
        <is>
          <t>ÖSTERGÖTLANDS LÄN</t>
        </is>
      </c>
      <c r="E4" t="inlineStr">
        <is>
          <t>ÖDESHÖG</t>
        </is>
      </c>
      <c r="G4" t="n">
        <v>18.2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Skogsbräsma
Strutbräken
Grönvit nattviol</t>
        </is>
      </c>
      <c r="S4">
        <f>HYPERLINK("https://klasma.github.io/Logging_0509/artfynd/A 20300-2019 artfynd.xlsx", "A 20300-2019")</f>
        <v/>
      </c>
      <c r="T4">
        <f>HYPERLINK("https://klasma.github.io/Logging_0509/kartor/A 20300-2019 karta.png", "A 20300-2019")</f>
        <v/>
      </c>
      <c r="V4">
        <f>HYPERLINK("https://klasma.github.io/Logging_0509/klagomål/A 20300-2019 FSC-klagomål.docx", "A 20300-2019")</f>
        <v/>
      </c>
      <c r="W4">
        <f>HYPERLINK("https://klasma.github.io/Logging_0509/klagomålsmail/A 20300-2019 FSC-klagomål mail.docx", "A 20300-2019")</f>
        <v/>
      </c>
      <c r="X4">
        <f>HYPERLINK("https://klasma.github.io/Logging_0509/tillsyn/A 20300-2019 tillsynsbegäran.docx", "A 20300-2019")</f>
        <v/>
      </c>
      <c r="Y4">
        <f>HYPERLINK("https://klasma.github.io/Logging_0509/tillsynsmail/A 20300-2019 tillsynsbegäran mail.docx", "A 20300-2019")</f>
        <v/>
      </c>
    </row>
    <row r="5" ht="15" customHeight="1">
      <c r="A5" t="inlineStr">
        <is>
          <t>A 33435-2020</t>
        </is>
      </c>
      <c r="B5" s="1" t="n">
        <v>44022</v>
      </c>
      <c r="C5" s="1" t="n">
        <v>45706</v>
      </c>
      <c r="D5" t="inlineStr">
        <is>
          <t>ÖSTERGÖTLANDS LÄN</t>
        </is>
      </c>
      <c r="E5" t="inlineStr">
        <is>
          <t>ÖDESHÖG</t>
        </is>
      </c>
      <c r="G5" t="n">
        <v>1.6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Slåtterfibbla
Svart trolldruva</t>
        </is>
      </c>
      <c r="S5">
        <f>HYPERLINK("https://klasma.github.io/Logging_0509/artfynd/A 33435-2020 artfynd.xlsx", "A 33435-2020")</f>
        <v/>
      </c>
      <c r="T5">
        <f>HYPERLINK("https://klasma.github.io/Logging_0509/kartor/A 33435-2020 karta.png", "A 33435-2020")</f>
        <v/>
      </c>
      <c r="V5">
        <f>HYPERLINK("https://klasma.github.io/Logging_0509/klagomål/A 33435-2020 FSC-klagomål.docx", "A 33435-2020")</f>
        <v/>
      </c>
      <c r="W5">
        <f>HYPERLINK("https://klasma.github.io/Logging_0509/klagomålsmail/A 33435-2020 FSC-klagomål mail.docx", "A 33435-2020")</f>
        <v/>
      </c>
      <c r="X5">
        <f>HYPERLINK("https://klasma.github.io/Logging_0509/tillsyn/A 33435-2020 tillsynsbegäran.docx", "A 33435-2020")</f>
        <v/>
      </c>
      <c r="Y5">
        <f>HYPERLINK("https://klasma.github.io/Logging_0509/tillsynsmail/A 33435-2020 tillsynsbegäran mail.docx", "A 33435-2020")</f>
        <v/>
      </c>
    </row>
    <row r="6" ht="15" customHeight="1">
      <c r="A6" t="inlineStr">
        <is>
          <t>A 40493-2021</t>
        </is>
      </c>
      <c r="B6" s="1" t="n">
        <v>44420</v>
      </c>
      <c r="C6" s="1" t="n">
        <v>45706</v>
      </c>
      <c r="D6" t="inlineStr">
        <is>
          <t>ÖSTERGÖTLANDS LÄN</t>
        </is>
      </c>
      <c r="E6" t="inlineStr">
        <is>
          <t>ÖDESHÖG</t>
        </is>
      </c>
      <c r="G6" t="n">
        <v>0.7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Revlummer</t>
        </is>
      </c>
      <c r="S6">
        <f>HYPERLINK("https://klasma.github.io/Logging_0509/artfynd/A 40493-2021 artfynd.xlsx", "A 40493-2021")</f>
        <v/>
      </c>
      <c r="T6">
        <f>HYPERLINK("https://klasma.github.io/Logging_0509/kartor/A 40493-2021 karta.png", "A 40493-2021")</f>
        <v/>
      </c>
      <c r="U6">
        <f>HYPERLINK("https://klasma.github.io/Logging_0509/knärot/A 40493-2021 karta knärot.png", "A 40493-2021")</f>
        <v/>
      </c>
      <c r="V6">
        <f>HYPERLINK("https://klasma.github.io/Logging_0509/klagomål/A 40493-2021 FSC-klagomål.docx", "A 40493-2021")</f>
        <v/>
      </c>
      <c r="W6">
        <f>HYPERLINK("https://klasma.github.io/Logging_0509/klagomålsmail/A 40493-2021 FSC-klagomål mail.docx", "A 40493-2021")</f>
        <v/>
      </c>
      <c r="X6">
        <f>HYPERLINK("https://klasma.github.io/Logging_0509/tillsyn/A 40493-2021 tillsynsbegäran.docx", "A 40493-2021")</f>
        <v/>
      </c>
      <c r="Y6">
        <f>HYPERLINK("https://klasma.github.io/Logging_0509/tillsynsmail/A 40493-2021 tillsynsbegäran mail.docx", "A 40493-2021")</f>
        <v/>
      </c>
    </row>
    <row r="7" ht="15" customHeight="1">
      <c r="A7" t="inlineStr">
        <is>
          <t>A 20262-2022</t>
        </is>
      </c>
      <c r="B7" s="1" t="n">
        <v>44698</v>
      </c>
      <c r="C7" s="1" t="n">
        <v>45706</v>
      </c>
      <c r="D7" t="inlineStr">
        <is>
          <t>ÖSTERGÖTLANDS LÄN</t>
        </is>
      </c>
      <c r="E7" t="inlineStr">
        <is>
          <t>ÖDESHÖG</t>
        </is>
      </c>
      <c r="F7" t="inlineStr">
        <is>
          <t>Allmännings- och besparingsskogar</t>
        </is>
      </c>
      <c r="G7" t="n">
        <v>10.3</v>
      </c>
      <c r="H7" t="n">
        <v>1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Blåmossa</t>
        </is>
      </c>
      <c r="S7">
        <f>HYPERLINK("https://klasma.github.io/Logging_0509/artfynd/A 20262-2022 artfynd.xlsx", "A 20262-2022")</f>
        <v/>
      </c>
      <c r="T7">
        <f>HYPERLINK("https://klasma.github.io/Logging_0509/kartor/A 20262-2022 karta.png", "A 20262-2022")</f>
        <v/>
      </c>
      <c r="U7">
        <f>HYPERLINK("https://klasma.github.io/Logging_0509/knärot/A 20262-2022 karta knärot.png", "A 20262-2022")</f>
        <v/>
      </c>
      <c r="V7">
        <f>HYPERLINK("https://klasma.github.io/Logging_0509/klagomål/A 20262-2022 FSC-klagomål.docx", "A 20262-2022")</f>
        <v/>
      </c>
      <c r="W7">
        <f>HYPERLINK("https://klasma.github.io/Logging_0509/klagomålsmail/A 20262-2022 FSC-klagomål mail.docx", "A 20262-2022")</f>
        <v/>
      </c>
      <c r="X7">
        <f>HYPERLINK("https://klasma.github.io/Logging_0509/tillsyn/A 20262-2022 tillsynsbegäran.docx", "A 20262-2022")</f>
        <v/>
      </c>
      <c r="Y7">
        <f>HYPERLINK("https://klasma.github.io/Logging_0509/tillsynsmail/A 20262-2022 tillsynsbegäran mail.docx", "A 20262-2022")</f>
        <v/>
      </c>
    </row>
    <row r="8" ht="15" customHeight="1">
      <c r="A8" t="inlineStr">
        <is>
          <t>A 16015-2021</t>
        </is>
      </c>
      <c r="B8" s="1" t="n">
        <v>44287</v>
      </c>
      <c r="C8" s="1" t="n">
        <v>45706</v>
      </c>
      <c r="D8" t="inlineStr">
        <is>
          <t>ÖSTERGÖTLANDS LÄN</t>
        </is>
      </c>
      <c r="E8" t="inlineStr">
        <is>
          <t>ÖDESHÖG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Bredgentiana</t>
        </is>
      </c>
      <c r="S8">
        <f>HYPERLINK("https://klasma.github.io/Logging_0509/artfynd/A 16015-2021 artfynd.xlsx", "A 16015-2021")</f>
        <v/>
      </c>
      <c r="T8">
        <f>HYPERLINK("https://klasma.github.io/Logging_0509/kartor/A 16015-2021 karta.png", "A 16015-2021")</f>
        <v/>
      </c>
      <c r="V8">
        <f>HYPERLINK("https://klasma.github.io/Logging_0509/klagomål/A 16015-2021 FSC-klagomål.docx", "A 16015-2021")</f>
        <v/>
      </c>
      <c r="W8">
        <f>HYPERLINK("https://klasma.github.io/Logging_0509/klagomålsmail/A 16015-2021 FSC-klagomål mail.docx", "A 16015-2021")</f>
        <v/>
      </c>
      <c r="X8">
        <f>HYPERLINK("https://klasma.github.io/Logging_0509/tillsyn/A 16015-2021 tillsynsbegäran.docx", "A 16015-2021")</f>
        <v/>
      </c>
      <c r="Y8">
        <f>HYPERLINK("https://klasma.github.io/Logging_0509/tillsynsmail/A 16015-2021 tillsynsbegäran mail.docx", "A 16015-2021")</f>
        <v/>
      </c>
    </row>
    <row r="9" ht="15" customHeight="1">
      <c r="A9" t="inlineStr">
        <is>
          <t>A 18990-2021</t>
        </is>
      </c>
      <c r="B9" s="1" t="n">
        <v>44308</v>
      </c>
      <c r="C9" s="1" t="n">
        <v>45706</v>
      </c>
      <c r="D9" t="inlineStr">
        <is>
          <t>ÖSTERGÖTLANDS LÄN</t>
        </is>
      </c>
      <c r="E9" t="inlineStr">
        <is>
          <t>ÖDESHÖG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Murgröna</t>
        </is>
      </c>
      <c r="S9">
        <f>HYPERLINK("https://klasma.github.io/Logging_0509/artfynd/A 18990-2021 artfynd.xlsx", "A 18990-2021")</f>
        <v/>
      </c>
      <c r="T9">
        <f>HYPERLINK("https://klasma.github.io/Logging_0509/kartor/A 18990-2021 karta.png", "A 18990-2021")</f>
        <v/>
      </c>
      <c r="V9">
        <f>HYPERLINK("https://klasma.github.io/Logging_0509/klagomål/A 18990-2021 FSC-klagomål.docx", "A 18990-2021")</f>
        <v/>
      </c>
      <c r="W9">
        <f>HYPERLINK("https://klasma.github.io/Logging_0509/klagomålsmail/A 18990-2021 FSC-klagomål mail.docx", "A 18990-2021")</f>
        <v/>
      </c>
      <c r="X9">
        <f>HYPERLINK("https://klasma.github.io/Logging_0509/tillsyn/A 18990-2021 tillsynsbegäran.docx", "A 18990-2021")</f>
        <v/>
      </c>
      <c r="Y9">
        <f>HYPERLINK("https://klasma.github.io/Logging_0509/tillsynsmail/A 18990-2021 tillsynsbegäran mail.docx", "A 18990-2021")</f>
        <v/>
      </c>
    </row>
    <row r="10" ht="15" customHeight="1">
      <c r="A10" t="inlineStr">
        <is>
          <t>A 25868-2021</t>
        </is>
      </c>
      <c r="B10" s="1" t="n">
        <v>44344</v>
      </c>
      <c r="C10" s="1" t="n">
        <v>45706</v>
      </c>
      <c r="D10" t="inlineStr">
        <is>
          <t>ÖSTERGÖTLANDS LÄN</t>
        </is>
      </c>
      <c r="E10" t="inlineStr">
        <is>
          <t>ÖDESHÖG</t>
        </is>
      </c>
      <c r="G10" t="n">
        <v>2.8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Ask</t>
        </is>
      </c>
      <c r="S10">
        <f>HYPERLINK("https://klasma.github.io/Logging_0509/artfynd/A 25868-2021 artfynd.xlsx", "A 25868-2021")</f>
        <v/>
      </c>
      <c r="T10">
        <f>HYPERLINK("https://klasma.github.io/Logging_0509/kartor/A 25868-2021 karta.png", "A 25868-2021")</f>
        <v/>
      </c>
      <c r="V10">
        <f>HYPERLINK("https://klasma.github.io/Logging_0509/klagomål/A 25868-2021 FSC-klagomål.docx", "A 25868-2021")</f>
        <v/>
      </c>
      <c r="W10">
        <f>HYPERLINK("https://klasma.github.io/Logging_0509/klagomålsmail/A 25868-2021 FSC-klagomål mail.docx", "A 25868-2021")</f>
        <v/>
      </c>
      <c r="X10">
        <f>HYPERLINK("https://klasma.github.io/Logging_0509/tillsyn/A 25868-2021 tillsynsbegäran.docx", "A 25868-2021")</f>
        <v/>
      </c>
      <c r="Y10">
        <f>HYPERLINK("https://klasma.github.io/Logging_0509/tillsynsmail/A 25868-2021 tillsynsbegäran mail.docx", "A 25868-2021")</f>
        <v/>
      </c>
    </row>
    <row r="11" ht="15" customHeight="1">
      <c r="A11" t="inlineStr">
        <is>
          <t>A 15823-2022</t>
        </is>
      </c>
      <c r="B11" s="1" t="n">
        <v>44664</v>
      </c>
      <c r="C11" s="1" t="n">
        <v>45706</v>
      </c>
      <c r="D11" t="inlineStr">
        <is>
          <t>ÖSTERGÖTLANDS LÄN</t>
        </is>
      </c>
      <c r="E11" t="inlineStr">
        <is>
          <t>ÖDESHÖG</t>
        </is>
      </c>
      <c r="F11" t="inlineStr">
        <is>
          <t>Sveaskog</t>
        </is>
      </c>
      <c r="G11" t="n">
        <v>6.5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Hasselmus</t>
        </is>
      </c>
      <c r="S11">
        <f>HYPERLINK("https://klasma.github.io/Logging_0509/artfynd/A 15823-2022 artfynd.xlsx", "A 15823-2022")</f>
        <v/>
      </c>
      <c r="T11">
        <f>HYPERLINK("https://klasma.github.io/Logging_0509/kartor/A 15823-2022 karta.png", "A 15823-2022")</f>
        <v/>
      </c>
      <c r="V11">
        <f>HYPERLINK("https://klasma.github.io/Logging_0509/klagomål/A 15823-2022 FSC-klagomål.docx", "A 15823-2022")</f>
        <v/>
      </c>
      <c r="W11">
        <f>HYPERLINK("https://klasma.github.io/Logging_0509/klagomålsmail/A 15823-2022 FSC-klagomål mail.docx", "A 15823-2022")</f>
        <v/>
      </c>
      <c r="X11">
        <f>HYPERLINK("https://klasma.github.io/Logging_0509/tillsyn/A 15823-2022 tillsynsbegäran.docx", "A 15823-2022")</f>
        <v/>
      </c>
      <c r="Y11">
        <f>HYPERLINK("https://klasma.github.io/Logging_0509/tillsynsmail/A 15823-2022 tillsynsbegäran mail.docx", "A 15823-2022")</f>
        <v/>
      </c>
    </row>
    <row r="12" ht="15" customHeight="1">
      <c r="A12" t="inlineStr">
        <is>
          <t>A 8255-2023</t>
        </is>
      </c>
      <c r="B12" s="1" t="n">
        <v>44974</v>
      </c>
      <c r="C12" s="1" t="n">
        <v>45706</v>
      </c>
      <c r="D12" t="inlineStr">
        <is>
          <t>ÖSTERGÖTLANDS LÄN</t>
        </is>
      </c>
      <c r="E12" t="inlineStr">
        <is>
          <t>ÖDESHÖG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HYPERLINK("https://klasma.github.io/Logging_0509/artfynd/A 8255-2023 artfynd.xlsx", "A 8255-2023")</f>
        <v/>
      </c>
      <c r="T12">
        <f>HYPERLINK("https://klasma.github.io/Logging_0509/kartor/A 8255-2023 karta.png", "A 8255-2023")</f>
        <v/>
      </c>
      <c r="V12">
        <f>HYPERLINK("https://klasma.github.io/Logging_0509/klagomål/A 8255-2023 FSC-klagomål.docx", "A 8255-2023")</f>
        <v/>
      </c>
      <c r="W12">
        <f>HYPERLINK("https://klasma.github.io/Logging_0509/klagomålsmail/A 8255-2023 FSC-klagomål mail.docx", "A 8255-2023")</f>
        <v/>
      </c>
      <c r="X12">
        <f>HYPERLINK("https://klasma.github.io/Logging_0509/tillsyn/A 8255-2023 tillsynsbegäran.docx", "A 8255-2023")</f>
        <v/>
      </c>
      <c r="Y12">
        <f>HYPERLINK("https://klasma.github.io/Logging_0509/tillsynsmail/A 8255-2023 tillsynsbegäran mail.docx", "A 8255-2023")</f>
        <v/>
      </c>
    </row>
    <row r="13" ht="15" customHeight="1">
      <c r="A13" t="inlineStr">
        <is>
          <t>A 16169-2023</t>
        </is>
      </c>
      <c r="B13" s="1" t="n">
        <v>45027</v>
      </c>
      <c r="C13" s="1" t="n">
        <v>45706</v>
      </c>
      <c r="D13" t="inlineStr">
        <is>
          <t>ÖSTERGÖTLANDS LÄN</t>
        </is>
      </c>
      <c r="E13" t="inlineStr">
        <is>
          <t>ÖDESHÖG</t>
        </is>
      </c>
      <c r="F13" t="inlineStr">
        <is>
          <t>Allmännings- och besparingsskogar</t>
        </is>
      </c>
      <c r="G13" t="n">
        <v>11.9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HYPERLINK("https://klasma.github.io/Logging_0509/artfynd/A 16169-2023 artfynd.xlsx", "A 16169-2023")</f>
        <v/>
      </c>
      <c r="T13">
        <f>HYPERLINK("https://klasma.github.io/Logging_0509/kartor/A 16169-2023 karta.png", "A 16169-2023")</f>
        <v/>
      </c>
      <c r="V13">
        <f>HYPERLINK("https://klasma.github.io/Logging_0509/klagomål/A 16169-2023 FSC-klagomål.docx", "A 16169-2023")</f>
        <v/>
      </c>
      <c r="W13">
        <f>HYPERLINK("https://klasma.github.io/Logging_0509/klagomålsmail/A 16169-2023 FSC-klagomål mail.docx", "A 16169-2023")</f>
        <v/>
      </c>
      <c r="X13">
        <f>HYPERLINK("https://klasma.github.io/Logging_0509/tillsyn/A 16169-2023 tillsynsbegäran.docx", "A 16169-2023")</f>
        <v/>
      </c>
      <c r="Y13">
        <f>HYPERLINK("https://klasma.github.io/Logging_0509/tillsynsmail/A 16169-2023 tillsynsbegäran mail.docx", "A 16169-2023")</f>
        <v/>
      </c>
    </row>
    <row r="14" ht="15" customHeight="1">
      <c r="A14" t="inlineStr">
        <is>
          <t>A 56637-2023</t>
        </is>
      </c>
      <c r="B14" s="1" t="n">
        <v>45243</v>
      </c>
      <c r="C14" s="1" t="n">
        <v>45706</v>
      </c>
      <c r="D14" t="inlineStr">
        <is>
          <t>ÖSTERGÖTLANDS LÄN</t>
        </is>
      </c>
      <c r="E14" t="inlineStr">
        <is>
          <t>ÖDESHÖG</t>
        </is>
      </c>
      <c r="G14" t="n">
        <v>2.9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Skogsalm</t>
        </is>
      </c>
      <c r="S14">
        <f>HYPERLINK("https://klasma.github.io/Logging_0509/artfynd/A 56637-2023 artfynd.xlsx", "A 56637-2023")</f>
        <v/>
      </c>
      <c r="T14">
        <f>HYPERLINK("https://klasma.github.io/Logging_0509/kartor/A 56637-2023 karta.png", "A 56637-2023")</f>
        <v/>
      </c>
      <c r="V14">
        <f>HYPERLINK("https://klasma.github.io/Logging_0509/klagomål/A 56637-2023 FSC-klagomål.docx", "A 56637-2023")</f>
        <v/>
      </c>
      <c r="W14">
        <f>HYPERLINK("https://klasma.github.io/Logging_0509/klagomålsmail/A 56637-2023 FSC-klagomål mail.docx", "A 56637-2023")</f>
        <v/>
      </c>
      <c r="X14">
        <f>HYPERLINK("https://klasma.github.io/Logging_0509/tillsyn/A 56637-2023 tillsynsbegäran.docx", "A 56637-2023")</f>
        <v/>
      </c>
      <c r="Y14">
        <f>HYPERLINK("https://klasma.github.io/Logging_0509/tillsynsmail/A 56637-2023 tillsynsbegäran mail.docx", "A 56637-2023")</f>
        <v/>
      </c>
    </row>
    <row r="15" ht="15" customHeight="1">
      <c r="A15" t="inlineStr">
        <is>
          <t>A 54419-2024</t>
        </is>
      </c>
      <c r="B15" s="1" t="n">
        <v>45617</v>
      </c>
      <c r="C15" s="1" t="n">
        <v>45706</v>
      </c>
      <c r="D15" t="inlineStr">
        <is>
          <t>ÖSTERGÖTLANDS LÄN</t>
        </is>
      </c>
      <c r="E15" t="inlineStr">
        <is>
          <t>ÖDESHÖG</t>
        </is>
      </c>
      <c r="F15" t="inlineStr">
        <is>
          <t>Allmännings- och besparingsskogar</t>
        </is>
      </c>
      <c r="G15" t="n">
        <v>22.7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Svart taggsvamp</t>
        </is>
      </c>
      <c r="S15">
        <f>HYPERLINK("https://klasma.github.io/Logging_0509/artfynd/A 54419-2024 artfynd.xlsx", "A 54419-2024")</f>
        <v/>
      </c>
      <c r="T15">
        <f>HYPERLINK("https://klasma.github.io/Logging_0509/kartor/A 54419-2024 karta.png", "A 54419-2024")</f>
        <v/>
      </c>
      <c r="V15">
        <f>HYPERLINK("https://klasma.github.io/Logging_0509/klagomål/A 54419-2024 FSC-klagomål.docx", "A 54419-2024")</f>
        <v/>
      </c>
      <c r="W15">
        <f>HYPERLINK("https://klasma.github.io/Logging_0509/klagomålsmail/A 54419-2024 FSC-klagomål mail.docx", "A 54419-2024")</f>
        <v/>
      </c>
      <c r="X15">
        <f>HYPERLINK("https://klasma.github.io/Logging_0509/tillsyn/A 54419-2024 tillsynsbegäran.docx", "A 54419-2024")</f>
        <v/>
      </c>
      <c r="Y15">
        <f>HYPERLINK("https://klasma.github.io/Logging_0509/tillsynsmail/A 54419-2024 tillsynsbegäran mail.docx", "A 54419-2024")</f>
        <v/>
      </c>
    </row>
    <row r="16" ht="15" customHeight="1">
      <c r="A16" t="inlineStr">
        <is>
          <t>A 4497-2025</t>
        </is>
      </c>
      <c r="B16" s="1" t="n">
        <v>45686</v>
      </c>
      <c r="C16" s="1" t="n">
        <v>45706</v>
      </c>
      <c r="D16" t="inlineStr">
        <is>
          <t>ÖSTERGÖTLANDS LÄN</t>
        </is>
      </c>
      <c r="E16" t="inlineStr">
        <is>
          <t>ÖDESHÖG</t>
        </is>
      </c>
      <c r="F16" t="inlineStr">
        <is>
          <t>Kyrkan</t>
        </is>
      </c>
      <c r="G16" t="n">
        <v>3.6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1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Skogsalm</t>
        </is>
      </c>
      <c r="S16">
        <f>HYPERLINK("https://klasma.github.io/Logging_0509/artfynd/A 4497-2025 artfynd.xlsx", "A 4497-2025")</f>
        <v/>
      </c>
      <c r="T16">
        <f>HYPERLINK("https://klasma.github.io/Logging_0509/kartor/A 4497-2025 karta.png", "A 4497-2025")</f>
        <v/>
      </c>
      <c r="V16">
        <f>HYPERLINK("https://klasma.github.io/Logging_0509/klagomål/A 4497-2025 FSC-klagomål.docx", "A 4497-2025")</f>
        <v/>
      </c>
      <c r="W16">
        <f>HYPERLINK("https://klasma.github.io/Logging_0509/klagomålsmail/A 4497-2025 FSC-klagomål mail.docx", "A 4497-2025")</f>
        <v/>
      </c>
      <c r="X16">
        <f>HYPERLINK("https://klasma.github.io/Logging_0509/tillsyn/A 4497-2025 tillsynsbegäran.docx", "A 4497-2025")</f>
        <v/>
      </c>
      <c r="Y16">
        <f>HYPERLINK("https://klasma.github.io/Logging_0509/tillsynsmail/A 4497-2025 tillsynsbegäran mail.docx", "A 4497-2025")</f>
        <v/>
      </c>
    </row>
    <row r="17" ht="15" customHeight="1">
      <c r="A17" t="inlineStr">
        <is>
          <t>A 4399-2025</t>
        </is>
      </c>
      <c r="B17" s="1" t="n">
        <v>45686</v>
      </c>
      <c r="C17" s="1" t="n">
        <v>45706</v>
      </c>
      <c r="D17" t="inlineStr">
        <is>
          <t>ÖSTERGÖTLANDS LÄN</t>
        </is>
      </c>
      <c r="E17" t="inlineStr">
        <is>
          <t>ÖDESHÖG</t>
        </is>
      </c>
      <c r="G17" t="n">
        <v>6.6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Scharlakansvaxskivling</t>
        </is>
      </c>
      <c r="S17">
        <f>HYPERLINK("https://klasma.github.io/Logging_0509/artfynd/A 4399-2025 artfynd.xlsx", "A 4399-2025")</f>
        <v/>
      </c>
      <c r="T17">
        <f>HYPERLINK("https://klasma.github.io/Logging_0509/kartor/A 4399-2025 karta.png", "A 4399-2025")</f>
        <v/>
      </c>
      <c r="V17">
        <f>HYPERLINK("https://klasma.github.io/Logging_0509/klagomål/A 4399-2025 FSC-klagomål.docx", "A 4399-2025")</f>
        <v/>
      </c>
      <c r="W17">
        <f>HYPERLINK("https://klasma.github.io/Logging_0509/klagomålsmail/A 4399-2025 FSC-klagomål mail.docx", "A 4399-2025")</f>
        <v/>
      </c>
      <c r="X17">
        <f>HYPERLINK("https://klasma.github.io/Logging_0509/tillsyn/A 4399-2025 tillsynsbegäran.docx", "A 4399-2025")</f>
        <v/>
      </c>
      <c r="Y17">
        <f>HYPERLINK("https://klasma.github.io/Logging_0509/tillsynsmail/A 4399-2025 tillsynsbegäran mail.docx", "A 4399-2025")</f>
        <v/>
      </c>
    </row>
    <row r="18" ht="15" customHeight="1">
      <c r="A18" t="inlineStr">
        <is>
          <t>A 17931-2019</t>
        </is>
      </c>
      <c r="B18" s="1" t="n">
        <v>43557</v>
      </c>
      <c r="C18" s="1" t="n">
        <v>45706</v>
      </c>
      <c r="D18" t="inlineStr">
        <is>
          <t>ÖSTERGÖTLANDS LÄN</t>
        </is>
      </c>
      <c r="E18" t="inlineStr">
        <is>
          <t>ÖDESHÖG</t>
        </is>
      </c>
      <c r="G18" t="n">
        <v>0.6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18597-2019</t>
        </is>
      </c>
      <c r="B19" s="1" t="n">
        <v>43560</v>
      </c>
      <c r="C19" s="1" t="n">
        <v>45706</v>
      </c>
      <c r="D19" t="inlineStr">
        <is>
          <t>ÖSTERGÖTLANDS LÄN</t>
        </is>
      </c>
      <c r="E19" t="inlineStr">
        <is>
          <t>ÖDESHÖG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18780-2019</t>
        </is>
      </c>
      <c r="B20" s="1" t="n">
        <v>43561</v>
      </c>
      <c r="C20" s="1" t="n">
        <v>45706</v>
      </c>
      <c r="D20" t="inlineStr">
        <is>
          <t>ÖSTERGÖTLANDS LÄN</t>
        </is>
      </c>
      <c r="E20" t="inlineStr">
        <is>
          <t>ÖDESHÖG</t>
        </is>
      </c>
      <c r="G20" t="n">
        <v>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18779-2019</t>
        </is>
      </c>
      <c r="B21" s="1" t="n">
        <v>43561</v>
      </c>
      <c r="C21" s="1" t="n">
        <v>45706</v>
      </c>
      <c r="D21" t="inlineStr">
        <is>
          <t>ÖSTERGÖTLANDS LÄN</t>
        </is>
      </c>
      <c r="E21" t="inlineStr">
        <is>
          <t>ÖDESHÖG</t>
        </is>
      </c>
      <c r="G21" t="n">
        <v>1.1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22831-2019</t>
        </is>
      </c>
      <c r="B22" s="1" t="n">
        <v>43591</v>
      </c>
      <c r="C22" s="1" t="n">
        <v>45706</v>
      </c>
      <c r="D22" t="inlineStr">
        <is>
          <t>ÖSTERGÖTLANDS LÄN</t>
        </is>
      </c>
      <c r="E22" t="inlineStr">
        <is>
          <t>ÖDESHÖG</t>
        </is>
      </c>
      <c r="G22" t="n">
        <v>3.7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23761-2019</t>
        </is>
      </c>
      <c r="B23" s="1" t="n">
        <v>43594</v>
      </c>
      <c r="C23" s="1" t="n">
        <v>45706</v>
      </c>
      <c r="D23" t="inlineStr">
        <is>
          <t>ÖSTERGÖTLANDS LÄN</t>
        </is>
      </c>
      <c r="E23" t="inlineStr">
        <is>
          <t>ÖDESHÖG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23765-2019</t>
        </is>
      </c>
      <c r="B24" s="1" t="n">
        <v>43594</v>
      </c>
      <c r="C24" s="1" t="n">
        <v>45706</v>
      </c>
      <c r="D24" t="inlineStr">
        <is>
          <t>ÖSTERGÖTLANDS LÄN</t>
        </is>
      </c>
      <c r="E24" t="inlineStr">
        <is>
          <t>ÖDESHÖG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24680-2019</t>
        </is>
      </c>
      <c r="B25" s="1" t="n">
        <v>43601</v>
      </c>
      <c r="C25" s="1" t="n">
        <v>45706</v>
      </c>
      <c r="D25" t="inlineStr">
        <is>
          <t>ÖSTERGÖTLANDS LÄN</t>
        </is>
      </c>
      <c r="E25" t="inlineStr">
        <is>
          <t>ÖDESHÖG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24718-2019</t>
        </is>
      </c>
      <c r="B26" s="1" t="n">
        <v>43601</v>
      </c>
      <c r="C26" s="1" t="n">
        <v>45706</v>
      </c>
      <c r="D26" t="inlineStr">
        <is>
          <t>ÖSTERGÖTLANDS LÄN</t>
        </is>
      </c>
      <c r="E26" t="inlineStr">
        <is>
          <t>ÖDESHÖG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25639-2019</t>
        </is>
      </c>
      <c r="B27" s="1" t="n">
        <v>43607</v>
      </c>
      <c r="C27" s="1" t="n">
        <v>45706</v>
      </c>
      <c r="D27" t="inlineStr">
        <is>
          <t>ÖSTERGÖTLANDS LÄN</t>
        </is>
      </c>
      <c r="E27" t="inlineStr">
        <is>
          <t>ÖDESHÖG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28117-2019</t>
        </is>
      </c>
      <c r="B28" s="1" t="n">
        <v>43621</v>
      </c>
      <c r="C28" s="1" t="n">
        <v>45706</v>
      </c>
      <c r="D28" t="inlineStr">
        <is>
          <t>ÖSTERGÖTLANDS LÄN</t>
        </is>
      </c>
      <c r="E28" t="inlineStr">
        <is>
          <t>ÖDESHÖG</t>
        </is>
      </c>
      <c r="G28" t="n">
        <v>8.9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28120-2019</t>
        </is>
      </c>
      <c r="B29" s="1" t="n">
        <v>43621</v>
      </c>
      <c r="C29" s="1" t="n">
        <v>45706</v>
      </c>
      <c r="D29" t="inlineStr">
        <is>
          <t>ÖSTERGÖTLANDS LÄN</t>
        </is>
      </c>
      <c r="E29" t="inlineStr">
        <is>
          <t>ÖDESHÖG</t>
        </is>
      </c>
      <c r="G29" t="n">
        <v>7.6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28451-2019</t>
        </is>
      </c>
      <c r="B30" s="1" t="n">
        <v>43626</v>
      </c>
      <c r="C30" s="1" t="n">
        <v>45706</v>
      </c>
      <c r="D30" t="inlineStr">
        <is>
          <t>ÖSTERGÖTLANDS LÄN</t>
        </is>
      </c>
      <c r="E30" t="inlineStr">
        <is>
          <t>ÖDESHÖG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29734-2019</t>
        </is>
      </c>
      <c r="B31" s="1" t="n">
        <v>43630</v>
      </c>
      <c r="C31" s="1" t="n">
        <v>45706</v>
      </c>
      <c r="D31" t="inlineStr">
        <is>
          <t>ÖSTERGÖTLANDS LÄN</t>
        </is>
      </c>
      <c r="E31" t="inlineStr">
        <is>
          <t>ÖDESHÖG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29736-2019</t>
        </is>
      </c>
      <c r="B32" s="1" t="n">
        <v>43630</v>
      </c>
      <c r="C32" s="1" t="n">
        <v>45706</v>
      </c>
      <c r="D32" t="inlineStr">
        <is>
          <t>ÖSTERGÖTLANDS LÄN</t>
        </is>
      </c>
      <c r="E32" t="inlineStr">
        <is>
          <t>ÖDESHÖG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29735-2019</t>
        </is>
      </c>
      <c r="B33" s="1" t="n">
        <v>43630</v>
      </c>
      <c r="C33" s="1" t="n">
        <v>45706</v>
      </c>
      <c r="D33" t="inlineStr">
        <is>
          <t>ÖSTERGÖTLANDS LÄN</t>
        </is>
      </c>
      <c r="E33" t="inlineStr">
        <is>
          <t>ÖDESHÖG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30572-2019</t>
        </is>
      </c>
      <c r="B34" s="1" t="n">
        <v>43635</v>
      </c>
      <c r="C34" s="1" t="n">
        <v>45706</v>
      </c>
      <c r="D34" t="inlineStr">
        <is>
          <t>ÖSTERGÖTLANDS LÄN</t>
        </is>
      </c>
      <c r="E34" t="inlineStr">
        <is>
          <t>ÖDESHÖG</t>
        </is>
      </c>
      <c r="F34" t="inlineStr">
        <is>
          <t>Allmännings- och besparingsskogar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30553-2019</t>
        </is>
      </c>
      <c r="B35" s="1" t="n">
        <v>43635</v>
      </c>
      <c r="C35" s="1" t="n">
        <v>45706</v>
      </c>
      <c r="D35" t="inlineStr">
        <is>
          <t>ÖSTERGÖTLANDS LÄN</t>
        </is>
      </c>
      <c r="E35" t="inlineStr">
        <is>
          <t>ÖDESHÖG</t>
        </is>
      </c>
      <c r="F35" t="inlineStr">
        <is>
          <t>Allmännings- och besparingsskogar</t>
        </is>
      </c>
      <c r="G35" t="n">
        <v>8.6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30785-2019</t>
        </is>
      </c>
      <c r="B36" s="1" t="n">
        <v>43636</v>
      </c>
      <c r="C36" s="1" t="n">
        <v>45706</v>
      </c>
      <c r="D36" t="inlineStr">
        <is>
          <t>ÖSTERGÖTLANDS LÄN</t>
        </is>
      </c>
      <c r="E36" t="inlineStr">
        <is>
          <t>ÖDESHÖG</t>
        </is>
      </c>
      <c r="G36" t="n">
        <v>3.8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38901-2019</t>
        </is>
      </c>
      <c r="B37" s="1" t="n">
        <v>43689</v>
      </c>
      <c r="C37" s="1" t="n">
        <v>45706</v>
      </c>
      <c r="D37" t="inlineStr">
        <is>
          <t>ÖSTERGÖTLANDS LÄN</t>
        </is>
      </c>
      <c r="E37" t="inlineStr">
        <is>
          <t>ÖDESHÖG</t>
        </is>
      </c>
      <c r="F37" t="inlineStr">
        <is>
          <t>Allmännings- och besparingsskogar</t>
        </is>
      </c>
      <c r="G37" t="n">
        <v>7.6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40608-2019</t>
        </is>
      </c>
      <c r="B38" s="1" t="n">
        <v>43696</v>
      </c>
      <c r="C38" s="1" t="n">
        <v>45706</v>
      </c>
      <c r="D38" t="inlineStr">
        <is>
          <t>ÖSTERGÖTLANDS LÄN</t>
        </is>
      </c>
      <c r="E38" t="inlineStr">
        <is>
          <t>ÖDESHÖG</t>
        </is>
      </c>
      <c r="G38" t="n">
        <v>2.5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42593-2019</t>
        </is>
      </c>
      <c r="B39" s="1" t="n">
        <v>43699</v>
      </c>
      <c r="C39" s="1" t="n">
        <v>45706</v>
      </c>
      <c r="D39" t="inlineStr">
        <is>
          <t>ÖSTERGÖTLANDS LÄN</t>
        </is>
      </c>
      <c r="E39" t="inlineStr">
        <is>
          <t>ÖDESHÖG</t>
        </is>
      </c>
      <c r="G39" t="n">
        <v>17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45152-2019</t>
        </is>
      </c>
      <c r="B40" s="1" t="n">
        <v>43699</v>
      </c>
      <c r="C40" s="1" t="n">
        <v>45706</v>
      </c>
      <c r="D40" t="inlineStr">
        <is>
          <t>ÖSTERGÖTLANDS LÄN</t>
        </is>
      </c>
      <c r="E40" t="inlineStr">
        <is>
          <t>ÖDESHÖG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41932-2019</t>
        </is>
      </c>
      <c r="B41" s="1" t="n">
        <v>43700</v>
      </c>
      <c r="C41" s="1" t="n">
        <v>45706</v>
      </c>
      <c r="D41" t="inlineStr">
        <is>
          <t>ÖSTERGÖTLANDS LÄN</t>
        </is>
      </c>
      <c r="E41" t="inlineStr">
        <is>
          <t>ÖDESHÖG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41938-2019</t>
        </is>
      </c>
      <c r="B42" s="1" t="n">
        <v>43700</v>
      </c>
      <c r="C42" s="1" t="n">
        <v>45706</v>
      </c>
      <c r="D42" t="inlineStr">
        <is>
          <t>ÖSTERGÖTLANDS LÄN</t>
        </is>
      </c>
      <c r="E42" t="inlineStr">
        <is>
          <t>ÖDESHÖG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43641-2019</t>
        </is>
      </c>
      <c r="B43" s="1" t="n">
        <v>43707</v>
      </c>
      <c r="C43" s="1" t="n">
        <v>45706</v>
      </c>
      <c r="D43" t="inlineStr">
        <is>
          <t>ÖSTERGÖTLANDS LÄN</t>
        </is>
      </c>
      <c r="E43" t="inlineStr">
        <is>
          <t>ÖDESHÖG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44445-2019</t>
        </is>
      </c>
      <c r="B44" s="1" t="n">
        <v>43711</v>
      </c>
      <c r="C44" s="1" t="n">
        <v>45706</v>
      </c>
      <c r="D44" t="inlineStr">
        <is>
          <t>ÖSTERGÖTLANDS LÄN</t>
        </is>
      </c>
      <c r="E44" t="inlineStr">
        <is>
          <t>ÖDESHÖG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44562-2019</t>
        </is>
      </c>
      <c r="B45" s="1" t="n">
        <v>43711</v>
      </c>
      <c r="C45" s="1" t="n">
        <v>45706</v>
      </c>
      <c r="D45" t="inlineStr">
        <is>
          <t>ÖSTERGÖTLANDS LÄN</t>
        </is>
      </c>
      <c r="E45" t="inlineStr">
        <is>
          <t>ÖDESHÖG</t>
        </is>
      </c>
      <c r="G45" t="n">
        <v>6.7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48666-2019</t>
        </is>
      </c>
      <c r="B46" s="1" t="n">
        <v>43728</v>
      </c>
      <c r="C46" s="1" t="n">
        <v>45706</v>
      </c>
      <c r="D46" t="inlineStr">
        <is>
          <t>ÖSTERGÖTLANDS LÄN</t>
        </is>
      </c>
      <c r="E46" t="inlineStr">
        <is>
          <t>ÖDESHÖG</t>
        </is>
      </c>
      <c r="F46" t="inlineStr">
        <is>
          <t>Allmännings- och besparingsskogar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48669-2019</t>
        </is>
      </c>
      <c r="B47" s="1" t="n">
        <v>43728</v>
      </c>
      <c r="C47" s="1" t="n">
        <v>45706</v>
      </c>
      <c r="D47" t="inlineStr">
        <is>
          <t>ÖSTERGÖTLANDS LÄN</t>
        </is>
      </c>
      <c r="E47" t="inlineStr">
        <is>
          <t>ÖDESHÖG</t>
        </is>
      </c>
      <c r="F47" t="inlineStr">
        <is>
          <t>Allmännings- och besparingsskogar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49505-2019</t>
        </is>
      </c>
      <c r="B48" s="1" t="n">
        <v>43732</v>
      </c>
      <c r="C48" s="1" t="n">
        <v>45706</v>
      </c>
      <c r="D48" t="inlineStr">
        <is>
          <t>ÖSTERGÖTLANDS LÄN</t>
        </is>
      </c>
      <c r="E48" t="inlineStr">
        <is>
          <t>ÖDESHÖG</t>
        </is>
      </c>
      <c r="F48" t="inlineStr">
        <is>
          <t>Allmännings- och besparingsskogar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49532-2019</t>
        </is>
      </c>
      <c r="B49" s="1" t="n">
        <v>43732</v>
      </c>
      <c r="C49" s="1" t="n">
        <v>45706</v>
      </c>
      <c r="D49" t="inlineStr">
        <is>
          <t>ÖSTERGÖTLANDS LÄN</t>
        </is>
      </c>
      <c r="E49" t="inlineStr">
        <is>
          <t>ÖDESHÖG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49508-2019</t>
        </is>
      </c>
      <c r="B50" s="1" t="n">
        <v>43732</v>
      </c>
      <c r="C50" s="1" t="n">
        <v>45706</v>
      </c>
      <c r="D50" t="inlineStr">
        <is>
          <t>ÖSTERGÖTLANDS LÄN</t>
        </is>
      </c>
      <c r="E50" t="inlineStr">
        <is>
          <t>ÖDESHÖG</t>
        </is>
      </c>
      <c r="F50" t="inlineStr">
        <is>
          <t>Allmännings- och besparingsskogar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49480-2019</t>
        </is>
      </c>
      <c r="B51" s="1" t="n">
        <v>43732</v>
      </c>
      <c r="C51" s="1" t="n">
        <v>45706</v>
      </c>
      <c r="D51" t="inlineStr">
        <is>
          <t>ÖSTERGÖTLANDS LÄN</t>
        </is>
      </c>
      <c r="E51" t="inlineStr">
        <is>
          <t>ÖDESHÖG</t>
        </is>
      </c>
      <c r="F51" t="inlineStr">
        <is>
          <t>Allmännings- och besparingsskogar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52150-2019</t>
        </is>
      </c>
      <c r="B52" s="1" t="n">
        <v>43742</v>
      </c>
      <c r="C52" s="1" t="n">
        <v>45706</v>
      </c>
      <c r="D52" t="inlineStr">
        <is>
          <t>ÖSTERGÖTLANDS LÄN</t>
        </is>
      </c>
      <c r="E52" t="inlineStr">
        <is>
          <t>ÖDESHÖG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53090-2019</t>
        </is>
      </c>
      <c r="B53" s="1" t="n">
        <v>43747</v>
      </c>
      <c r="C53" s="1" t="n">
        <v>45706</v>
      </c>
      <c r="D53" t="inlineStr">
        <is>
          <t>ÖSTERGÖTLANDS LÄN</t>
        </is>
      </c>
      <c r="E53" t="inlineStr">
        <is>
          <t>ÖDESHÖG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56279-2019</t>
        </is>
      </c>
      <c r="B54" s="1" t="n">
        <v>43762</v>
      </c>
      <c r="C54" s="1" t="n">
        <v>45706</v>
      </c>
      <c r="D54" t="inlineStr">
        <is>
          <t>ÖSTERGÖTLANDS LÄN</t>
        </is>
      </c>
      <c r="E54" t="inlineStr">
        <is>
          <t>ÖDESHÖG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60279-2019</t>
        </is>
      </c>
      <c r="B55" s="1" t="n">
        <v>43780</v>
      </c>
      <c r="C55" s="1" t="n">
        <v>45706</v>
      </c>
      <c r="D55" t="inlineStr">
        <is>
          <t>ÖSTERGÖTLANDS LÄN</t>
        </is>
      </c>
      <c r="E55" t="inlineStr">
        <is>
          <t>ÖDESHÖG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61406-2019</t>
        </is>
      </c>
      <c r="B56" s="1" t="n">
        <v>43783</v>
      </c>
      <c r="C56" s="1" t="n">
        <v>45706</v>
      </c>
      <c r="D56" t="inlineStr">
        <is>
          <t>ÖSTERGÖTLANDS LÄN</t>
        </is>
      </c>
      <c r="E56" t="inlineStr">
        <is>
          <t>ÖDESHÖG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61422-2019</t>
        </is>
      </c>
      <c r="B57" s="1" t="n">
        <v>43783</v>
      </c>
      <c r="C57" s="1" t="n">
        <v>45706</v>
      </c>
      <c r="D57" t="inlineStr">
        <is>
          <t>ÖSTERGÖTLANDS LÄN</t>
        </is>
      </c>
      <c r="E57" t="inlineStr">
        <is>
          <t>ÖDESHÖG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63017-2019</t>
        </is>
      </c>
      <c r="B58" s="1" t="n">
        <v>43791</v>
      </c>
      <c r="C58" s="1" t="n">
        <v>45706</v>
      </c>
      <c r="D58" t="inlineStr">
        <is>
          <t>ÖSTERGÖTLANDS LÄN</t>
        </is>
      </c>
      <c r="E58" t="inlineStr">
        <is>
          <t>ÖDESHÖG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64447-2019</t>
        </is>
      </c>
      <c r="B59" s="1" t="n">
        <v>43797</v>
      </c>
      <c r="C59" s="1" t="n">
        <v>45706</v>
      </c>
      <c r="D59" t="inlineStr">
        <is>
          <t>ÖSTERGÖTLANDS LÄN</t>
        </is>
      </c>
      <c r="E59" t="inlineStr">
        <is>
          <t>ÖDESHÖG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68926-2019</t>
        </is>
      </c>
      <c r="B60" s="1" t="n">
        <v>43822</v>
      </c>
      <c r="C60" s="1" t="n">
        <v>45706</v>
      </c>
      <c r="D60" t="inlineStr">
        <is>
          <t>ÖSTERGÖTLANDS LÄN</t>
        </is>
      </c>
      <c r="E60" t="inlineStr">
        <is>
          <t>ÖDESHÖG</t>
        </is>
      </c>
      <c r="G60" t="n">
        <v>10.3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69112-2019</t>
        </is>
      </c>
      <c r="B61" s="1" t="n">
        <v>43826</v>
      </c>
      <c r="C61" s="1" t="n">
        <v>45706</v>
      </c>
      <c r="D61" t="inlineStr">
        <is>
          <t>ÖSTERGÖTLANDS LÄN</t>
        </is>
      </c>
      <c r="E61" t="inlineStr">
        <is>
          <t>ÖDESHÖG</t>
        </is>
      </c>
      <c r="G61" t="n">
        <v>21.6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1499-2020</t>
        </is>
      </c>
      <c r="B62" s="1" t="n">
        <v>43843</v>
      </c>
      <c r="C62" s="1" t="n">
        <v>45706</v>
      </c>
      <c r="D62" t="inlineStr">
        <is>
          <t>ÖSTERGÖTLANDS LÄN</t>
        </is>
      </c>
      <c r="E62" t="inlineStr">
        <is>
          <t>ÖDESHÖG</t>
        </is>
      </c>
      <c r="F62" t="inlineStr">
        <is>
          <t>Allmännings- och besparingsskogar</t>
        </is>
      </c>
      <c r="G62" t="n">
        <v>3.7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3946-2020</t>
        </is>
      </c>
      <c r="B63" s="1" t="n">
        <v>43854</v>
      </c>
      <c r="C63" s="1" t="n">
        <v>45706</v>
      </c>
      <c r="D63" t="inlineStr">
        <is>
          <t>ÖSTERGÖTLANDS LÄN</t>
        </is>
      </c>
      <c r="E63" t="inlineStr">
        <is>
          <t>ÖDESHÖG</t>
        </is>
      </c>
      <c r="F63" t="inlineStr">
        <is>
          <t>Allmännings- och besparingsskogar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4720-2020</t>
        </is>
      </c>
      <c r="B64" s="1" t="n">
        <v>43858</v>
      </c>
      <c r="C64" s="1" t="n">
        <v>45706</v>
      </c>
      <c r="D64" t="inlineStr">
        <is>
          <t>ÖSTERGÖTLANDS LÄN</t>
        </is>
      </c>
      <c r="E64" t="inlineStr">
        <is>
          <t>ÖDESHÖG</t>
        </is>
      </c>
      <c r="F64" t="inlineStr">
        <is>
          <t>Allmännings- och besparingsskogar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4780-2020</t>
        </is>
      </c>
      <c r="B65" s="1" t="n">
        <v>43859</v>
      </c>
      <c r="C65" s="1" t="n">
        <v>45706</v>
      </c>
      <c r="D65" t="inlineStr">
        <is>
          <t>ÖSTERGÖTLANDS LÄN</t>
        </is>
      </c>
      <c r="E65" t="inlineStr">
        <is>
          <t>ÖDESHÖG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6627-2020</t>
        </is>
      </c>
      <c r="B66" s="1" t="n">
        <v>43867</v>
      </c>
      <c r="C66" s="1" t="n">
        <v>45706</v>
      </c>
      <c r="D66" t="inlineStr">
        <is>
          <t>ÖSTERGÖTLANDS LÄN</t>
        </is>
      </c>
      <c r="E66" t="inlineStr">
        <is>
          <t>ÖDESHÖG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6624-2020</t>
        </is>
      </c>
      <c r="B67" s="1" t="n">
        <v>43867</v>
      </c>
      <c r="C67" s="1" t="n">
        <v>45706</v>
      </c>
      <c r="D67" t="inlineStr">
        <is>
          <t>ÖSTERGÖTLANDS LÄN</t>
        </is>
      </c>
      <c r="E67" t="inlineStr">
        <is>
          <t>ÖDESHÖG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6956-2020</t>
        </is>
      </c>
      <c r="B68" s="1" t="n">
        <v>43868</v>
      </c>
      <c r="C68" s="1" t="n">
        <v>45706</v>
      </c>
      <c r="D68" t="inlineStr">
        <is>
          <t>ÖSTERGÖTLANDS LÄN</t>
        </is>
      </c>
      <c r="E68" t="inlineStr">
        <is>
          <t>ÖDESHÖG</t>
        </is>
      </c>
      <c r="F68" t="inlineStr">
        <is>
          <t>Allmännings- och besparingsskogar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6958-2020</t>
        </is>
      </c>
      <c r="B69" s="1" t="n">
        <v>43868</v>
      </c>
      <c r="C69" s="1" t="n">
        <v>45706</v>
      </c>
      <c r="D69" t="inlineStr">
        <is>
          <t>ÖSTERGÖTLANDS LÄN</t>
        </is>
      </c>
      <c r="E69" t="inlineStr">
        <is>
          <t>ÖDESHÖG</t>
        </is>
      </c>
      <c r="F69" t="inlineStr">
        <is>
          <t>Allmännings- och besparingsskogar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8906-2020</t>
        </is>
      </c>
      <c r="B70" s="1" t="n">
        <v>43878</v>
      </c>
      <c r="C70" s="1" t="n">
        <v>45706</v>
      </c>
      <c r="D70" t="inlineStr">
        <is>
          <t>ÖSTERGÖTLANDS LÄN</t>
        </is>
      </c>
      <c r="E70" t="inlineStr">
        <is>
          <t>ÖDESHÖG</t>
        </is>
      </c>
      <c r="G70" t="n">
        <v>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10043-2020</t>
        </is>
      </c>
      <c r="B71" s="1" t="n">
        <v>43882</v>
      </c>
      <c r="C71" s="1" t="n">
        <v>45706</v>
      </c>
      <c r="D71" t="inlineStr">
        <is>
          <t>ÖSTERGÖTLANDS LÄN</t>
        </is>
      </c>
      <c r="E71" t="inlineStr">
        <is>
          <t>ÖDESHÖG</t>
        </is>
      </c>
      <c r="G71" t="n">
        <v>9.9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21181-2020</t>
        </is>
      </c>
      <c r="B72" s="1" t="n">
        <v>43951</v>
      </c>
      <c r="C72" s="1" t="n">
        <v>45706</v>
      </c>
      <c r="D72" t="inlineStr">
        <is>
          <t>ÖSTERGÖTLANDS LÄN</t>
        </is>
      </c>
      <c r="E72" t="inlineStr">
        <is>
          <t>ÖDESHÖG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21883-2020</t>
        </is>
      </c>
      <c r="B73" s="1" t="n">
        <v>43958</v>
      </c>
      <c r="C73" s="1" t="n">
        <v>45706</v>
      </c>
      <c r="D73" t="inlineStr">
        <is>
          <t>ÖSTERGÖTLANDS LÄN</t>
        </is>
      </c>
      <c r="E73" t="inlineStr">
        <is>
          <t>ÖDESHÖG</t>
        </is>
      </c>
      <c r="F73" t="inlineStr">
        <is>
          <t>Allmännings- och besparingsskogar</t>
        </is>
      </c>
      <c r="G73" t="n">
        <v>1.3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21886-2020</t>
        </is>
      </c>
      <c r="B74" s="1" t="n">
        <v>43958</v>
      </c>
      <c r="C74" s="1" t="n">
        <v>45706</v>
      </c>
      <c r="D74" t="inlineStr">
        <is>
          <t>ÖSTERGÖTLANDS LÄN</t>
        </is>
      </c>
      <c r="E74" t="inlineStr">
        <is>
          <t>ÖDESHÖG</t>
        </is>
      </c>
      <c r="F74" t="inlineStr">
        <is>
          <t>Allmännings- och besparingsskogar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21881-2020</t>
        </is>
      </c>
      <c r="B75" s="1" t="n">
        <v>43958</v>
      </c>
      <c r="C75" s="1" t="n">
        <v>45706</v>
      </c>
      <c r="D75" t="inlineStr">
        <is>
          <t>ÖSTERGÖTLANDS LÄN</t>
        </is>
      </c>
      <c r="E75" t="inlineStr">
        <is>
          <t>ÖDESHÖG</t>
        </is>
      </c>
      <c r="F75" t="inlineStr">
        <is>
          <t>Allmännings- och besparingsskogar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22675-2020</t>
        </is>
      </c>
      <c r="B76" s="1" t="n">
        <v>43963</v>
      </c>
      <c r="C76" s="1" t="n">
        <v>45706</v>
      </c>
      <c r="D76" t="inlineStr">
        <is>
          <t>ÖSTERGÖTLANDS LÄN</t>
        </is>
      </c>
      <c r="E76" t="inlineStr">
        <is>
          <t>ÖDESHÖG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22671-2020</t>
        </is>
      </c>
      <c r="B77" s="1" t="n">
        <v>43963</v>
      </c>
      <c r="C77" s="1" t="n">
        <v>45706</v>
      </c>
      <c r="D77" t="inlineStr">
        <is>
          <t>ÖSTERGÖTLANDS LÄN</t>
        </is>
      </c>
      <c r="E77" t="inlineStr">
        <is>
          <t>ÖDESHÖG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22672-2020</t>
        </is>
      </c>
      <c r="B78" s="1" t="n">
        <v>43963</v>
      </c>
      <c r="C78" s="1" t="n">
        <v>45706</v>
      </c>
      <c r="D78" t="inlineStr">
        <is>
          <t>ÖSTERGÖTLANDS LÄN</t>
        </is>
      </c>
      <c r="E78" t="inlineStr">
        <is>
          <t>ÖDESHÖG</t>
        </is>
      </c>
      <c r="G78" t="n">
        <v>0.3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24268-2020</t>
        </is>
      </c>
      <c r="B79" s="1" t="n">
        <v>43971</v>
      </c>
      <c r="C79" s="1" t="n">
        <v>45706</v>
      </c>
      <c r="D79" t="inlineStr">
        <is>
          <t>ÖSTERGÖTLANDS LÄN</t>
        </is>
      </c>
      <c r="E79" t="inlineStr">
        <is>
          <t>ÖDESHÖG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25866-2020</t>
        </is>
      </c>
      <c r="B80" s="1" t="n">
        <v>43984</v>
      </c>
      <c r="C80" s="1" t="n">
        <v>45706</v>
      </c>
      <c r="D80" t="inlineStr">
        <is>
          <t>ÖSTERGÖTLANDS LÄN</t>
        </is>
      </c>
      <c r="E80" t="inlineStr">
        <is>
          <t>ÖDESHÖG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25941-2020</t>
        </is>
      </c>
      <c r="B81" s="1" t="n">
        <v>43985</v>
      </c>
      <c r="C81" s="1" t="n">
        <v>45706</v>
      </c>
      <c r="D81" t="inlineStr">
        <is>
          <t>ÖSTERGÖTLANDS LÄN</t>
        </is>
      </c>
      <c r="E81" t="inlineStr">
        <is>
          <t>ÖDESHÖG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32923-2020</t>
        </is>
      </c>
      <c r="B82" s="1" t="n">
        <v>44020</v>
      </c>
      <c r="C82" s="1" t="n">
        <v>45706</v>
      </c>
      <c r="D82" t="inlineStr">
        <is>
          <t>ÖSTERGÖTLANDS LÄN</t>
        </is>
      </c>
      <c r="E82" t="inlineStr">
        <is>
          <t>ÖDESHÖG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33761-2020</t>
        </is>
      </c>
      <c r="B83" s="1" t="n">
        <v>44026</v>
      </c>
      <c r="C83" s="1" t="n">
        <v>45706</v>
      </c>
      <c r="D83" t="inlineStr">
        <is>
          <t>ÖSTERGÖTLANDS LÄN</t>
        </is>
      </c>
      <c r="E83" t="inlineStr">
        <is>
          <t>ÖDESHÖG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35539-2020</t>
        </is>
      </c>
      <c r="B84" s="1" t="n">
        <v>44043</v>
      </c>
      <c r="C84" s="1" t="n">
        <v>45706</v>
      </c>
      <c r="D84" t="inlineStr">
        <is>
          <t>ÖSTERGÖTLANDS LÄN</t>
        </is>
      </c>
      <c r="E84" t="inlineStr">
        <is>
          <t>ÖDESHÖG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35751-2020</t>
        </is>
      </c>
      <c r="B85" s="1" t="n">
        <v>44046</v>
      </c>
      <c r="C85" s="1" t="n">
        <v>45706</v>
      </c>
      <c r="D85" t="inlineStr">
        <is>
          <t>ÖSTERGÖTLANDS LÄN</t>
        </is>
      </c>
      <c r="E85" t="inlineStr">
        <is>
          <t>ÖDESHÖG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38823-2020</t>
        </is>
      </c>
      <c r="B86" s="1" t="n">
        <v>44062</v>
      </c>
      <c r="C86" s="1" t="n">
        <v>45706</v>
      </c>
      <c r="D86" t="inlineStr">
        <is>
          <t>ÖSTERGÖTLANDS LÄN</t>
        </is>
      </c>
      <c r="E86" t="inlineStr">
        <is>
          <t>ÖDESHÖG</t>
        </is>
      </c>
      <c r="F86" t="inlineStr">
        <is>
          <t>Kyrkan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41516-2020</t>
        </is>
      </c>
      <c r="B87" s="1" t="n">
        <v>44074</v>
      </c>
      <c r="C87" s="1" t="n">
        <v>45706</v>
      </c>
      <c r="D87" t="inlineStr">
        <is>
          <t>ÖSTERGÖTLANDS LÄN</t>
        </is>
      </c>
      <c r="E87" t="inlineStr">
        <is>
          <t>ÖDESHÖG</t>
        </is>
      </c>
      <c r="F87" t="inlineStr">
        <is>
          <t>Allmännings- och besparingsskogar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41522-2020</t>
        </is>
      </c>
      <c r="B88" s="1" t="n">
        <v>44074</v>
      </c>
      <c r="C88" s="1" t="n">
        <v>45706</v>
      </c>
      <c r="D88" t="inlineStr">
        <is>
          <t>ÖSTERGÖTLANDS LÄN</t>
        </is>
      </c>
      <c r="E88" t="inlineStr">
        <is>
          <t>ÖDESHÖG</t>
        </is>
      </c>
      <c r="F88" t="inlineStr">
        <is>
          <t>Allmännings- och besparingsskogar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41506-2020</t>
        </is>
      </c>
      <c r="B89" s="1" t="n">
        <v>44074</v>
      </c>
      <c r="C89" s="1" t="n">
        <v>45706</v>
      </c>
      <c r="D89" t="inlineStr">
        <is>
          <t>ÖSTERGÖTLANDS LÄN</t>
        </is>
      </c>
      <c r="E89" t="inlineStr">
        <is>
          <t>ÖDESHÖG</t>
        </is>
      </c>
      <c r="F89" t="inlineStr">
        <is>
          <t>Allmännings- och besparingsskogar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41663-2020</t>
        </is>
      </c>
      <c r="B90" s="1" t="n">
        <v>44074</v>
      </c>
      <c r="C90" s="1" t="n">
        <v>45706</v>
      </c>
      <c r="D90" t="inlineStr">
        <is>
          <t>ÖSTERGÖTLANDS LÄN</t>
        </is>
      </c>
      <c r="E90" t="inlineStr">
        <is>
          <t>ÖDESHÖG</t>
        </is>
      </c>
      <c r="G90" t="n">
        <v>6.4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41518-2020</t>
        </is>
      </c>
      <c r="B91" s="1" t="n">
        <v>44074</v>
      </c>
      <c r="C91" s="1" t="n">
        <v>45706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41819-2020</t>
        </is>
      </c>
      <c r="B92" s="1" t="n">
        <v>44074</v>
      </c>
      <c r="C92" s="1" t="n">
        <v>45706</v>
      </c>
      <c r="D92" t="inlineStr">
        <is>
          <t>ÖSTERGÖTLANDS LÄN</t>
        </is>
      </c>
      <c r="E92" t="inlineStr">
        <is>
          <t>ÖDESHÖG</t>
        </is>
      </c>
      <c r="F92" t="inlineStr">
        <is>
          <t>Allmännings- och besparingsskogar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41816-2020</t>
        </is>
      </c>
      <c r="B93" s="1" t="n">
        <v>44074</v>
      </c>
      <c r="C93" s="1" t="n">
        <v>45706</v>
      </c>
      <c r="D93" t="inlineStr">
        <is>
          <t>ÖSTERGÖTLANDS LÄN</t>
        </is>
      </c>
      <c r="E93" t="inlineStr">
        <is>
          <t>ÖDESHÖG</t>
        </is>
      </c>
      <c r="F93" t="inlineStr">
        <is>
          <t>Allmännings- och besparingsskogar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41810-2020</t>
        </is>
      </c>
      <c r="B94" s="1" t="n">
        <v>44074</v>
      </c>
      <c r="C94" s="1" t="n">
        <v>45706</v>
      </c>
      <c r="D94" t="inlineStr">
        <is>
          <t>ÖSTERGÖTLANDS LÄN</t>
        </is>
      </c>
      <c r="E94" t="inlineStr">
        <is>
          <t>ÖDESHÖG</t>
        </is>
      </c>
      <c r="F94" t="inlineStr">
        <is>
          <t>Allmännings- och besparingsskogar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42408-2020</t>
        </is>
      </c>
      <c r="B95" s="1" t="n">
        <v>44076</v>
      </c>
      <c r="C95" s="1" t="n">
        <v>45706</v>
      </c>
      <c r="D95" t="inlineStr">
        <is>
          <t>ÖSTERGÖTLANDS LÄN</t>
        </is>
      </c>
      <c r="E95" t="inlineStr">
        <is>
          <t>ÖDESHÖG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42239-2020</t>
        </is>
      </c>
      <c r="B96" s="1" t="n">
        <v>44076</v>
      </c>
      <c r="C96" s="1" t="n">
        <v>45706</v>
      </c>
      <c r="D96" t="inlineStr">
        <is>
          <t>ÖSTERGÖTLANDS LÄN</t>
        </is>
      </c>
      <c r="E96" t="inlineStr">
        <is>
          <t>ÖDESHÖG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42720-2020</t>
        </is>
      </c>
      <c r="B97" s="1" t="n">
        <v>44077</v>
      </c>
      <c r="C97" s="1" t="n">
        <v>45706</v>
      </c>
      <c r="D97" t="inlineStr">
        <is>
          <t>ÖSTERGÖTLANDS LÄN</t>
        </is>
      </c>
      <c r="E97" t="inlineStr">
        <is>
          <t>ÖDESHÖG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43040-2020</t>
        </is>
      </c>
      <c r="B98" s="1" t="n">
        <v>44078</v>
      </c>
      <c r="C98" s="1" t="n">
        <v>45706</v>
      </c>
      <c r="D98" t="inlineStr">
        <is>
          <t>ÖSTERGÖTLANDS LÄN</t>
        </is>
      </c>
      <c r="E98" t="inlineStr">
        <is>
          <t>ÖDESHÖG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44395-2020</t>
        </is>
      </c>
      <c r="B99" s="1" t="n">
        <v>44084</v>
      </c>
      <c r="C99" s="1" t="n">
        <v>45706</v>
      </c>
      <c r="D99" t="inlineStr">
        <is>
          <t>ÖSTERGÖTLANDS LÄN</t>
        </is>
      </c>
      <c r="E99" t="inlineStr">
        <is>
          <t>ÖDESHÖG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44465-2020</t>
        </is>
      </c>
      <c r="B100" s="1" t="n">
        <v>44084</v>
      </c>
      <c r="C100" s="1" t="n">
        <v>45706</v>
      </c>
      <c r="D100" t="inlineStr">
        <is>
          <t>ÖSTERGÖTLANDS LÄN</t>
        </is>
      </c>
      <c r="E100" t="inlineStr">
        <is>
          <t>ÖDESHÖG</t>
        </is>
      </c>
      <c r="F100" t="inlineStr">
        <is>
          <t>Kyrkan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49749-2020</t>
        </is>
      </c>
      <c r="B101" s="1" t="n">
        <v>44106</v>
      </c>
      <c r="C101" s="1" t="n">
        <v>45706</v>
      </c>
      <c r="D101" t="inlineStr">
        <is>
          <t>ÖSTERGÖTLANDS LÄN</t>
        </is>
      </c>
      <c r="E101" t="inlineStr">
        <is>
          <t>ÖDESHÖG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49752-2020</t>
        </is>
      </c>
      <c r="B102" s="1" t="n">
        <v>44106</v>
      </c>
      <c r="C102" s="1" t="n">
        <v>45706</v>
      </c>
      <c r="D102" t="inlineStr">
        <is>
          <t>ÖSTERGÖTLANDS LÄN</t>
        </is>
      </c>
      <c r="E102" t="inlineStr">
        <is>
          <t>ÖDESHÖG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50595-2020</t>
        </is>
      </c>
      <c r="B103" s="1" t="n">
        <v>44110</v>
      </c>
      <c r="C103" s="1" t="n">
        <v>45706</v>
      </c>
      <c r="D103" t="inlineStr">
        <is>
          <t>ÖSTERGÖTLANDS LÄN</t>
        </is>
      </c>
      <c r="E103" t="inlineStr">
        <is>
          <t>ÖDESHÖG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51200-2020</t>
        </is>
      </c>
      <c r="B104" s="1" t="n">
        <v>44112</v>
      </c>
      <c r="C104" s="1" t="n">
        <v>45706</v>
      </c>
      <c r="D104" t="inlineStr">
        <is>
          <t>ÖSTERGÖTLANDS LÄN</t>
        </is>
      </c>
      <c r="E104" t="inlineStr">
        <is>
          <t>ÖDESHÖG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51193-2020</t>
        </is>
      </c>
      <c r="B105" s="1" t="n">
        <v>44112</v>
      </c>
      <c r="C105" s="1" t="n">
        <v>45706</v>
      </c>
      <c r="D105" t="inlineStr">
        <is>
          <t>ÖSTERGÖTLANDS LÄN</t>
        </is>
      </c>
      <c r="E105" t="inlineStr">
        <is>
          <t>ÖDESHÖG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52280-2020</t>
        </is>
      </c>
      <c r="B106" s="1" t="n">
        <v>44117</v>
      </c>
      <c r="C106" s="1" t="n">
        <v>45706</v>
      </c>
      <c r="D106" t="inlineStr">
        <is>
          <t>ÖSTERGÖTLANDS LÄN</t>
        </is>
      </c>
      <c r="E106" t="inlineStr">
        <is>
          <t>ÖDESHÖG</t>
        </is>
      </c>
      <c r="F106" t="inlineStr">
        <is>
          <t>Allmännings- och besparingsskogar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52239-2020</t>
        </is>
      </c>
      <c r="B107" s="1" t="n">
        <v>44117</v>
      </c>
      <c r="C107" s="1" t="n">
        <v>45706</v>
      </c>
      <c r="D107" t="inlineStr">
        <is>
          <t>ÖSTERGÖTLANDS LÄN</t>
        </is>
      </c>
      <c r="E107" t="inlineStr">
        <is>
          <t>ÖDESHÖG</t>
        </is>
      </c>
      <c r="F107" t="inlineStr">
        <is>
          <t>Allmännings- och besparingsskogar</t>
        </is>
      </c>
      <c r="G107" t="n">
        <v>5.5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52284-2020</t>
        </is>
      </c>
      <c r="B108" s="1" t="n">
        <v>44117</v>
      </c>
      <c r="C108" s="1" t="n">
        <v>45706</v>
      </c>
      <c r="D108" t="inlineStr">
        <is>
          <t>ÖSTERGÖTLANDS LÄN</t>
        </is>
      </c>
      <c r="E108" t="inlineStr">
        <is>
          <t>ÖDESHÖG</t>
        </is>
      </c>
      <c r="F108" t="inlineStr">
        <is>
          <t>Allmännings- och besparingsskogar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53743-2020</t>
        </is>
      </c>
      <c r="B109" s="1" t="n">
        <v>44124</v>
      </c>
      <c r="C109" s="1" t="n">
        <v>45706</v>
      </c>
      <c r="D109" t="inlineStr">
        <is>
          <t>ÖSTERGÖTLANDS LÄN</t>
        </is>
      </c>
      <c r="E109" t="inlineStr">
        <is>
          <t>ÖDESHÖG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54099-2020</t>
        </is>
      </c>
      <c r="B110" s="1" t="n">
        <v>44125</v>
      </c>
      <c r="C110" s="1" t="n">
        <v>45706</v>
      </c>
      <c r="D110" t="inlineStr">
        <is>
          <t>ÖSTERGÖTLANDS LÄN</t>
        </is>
      </c>
      <c r="E110" t="inlineStr">
        <is>
          <t>ÖDESHÖG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54772-2020</t>
        </is>
      </c>
      <c r="B111" s="1" t="n">
        <v>44127</v>
      </c>
      <c r="C111" s="1" t="n">
        <v>45706</v>
      </c>
      <c r="D111" t="inlineStr">
        <is>
          <t>ÖSTERGÖTLANDS LÄN</t>
        </is>
      </c>
      <c r="E111" t="inlineStr">
        <is>
          <t>ÖDESHÖG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55793-2020</t>
        </is>
      </c>
      <c r="B112" s="1" t="n">
        <v>44132</v>
      </c>
      <c r="C112" s="1" t="n">
        <v>45706</v>
      </c>
      <c r="D112" t="inlineStr">
        <is>
          <t>ÖSTERGÖTLANDS LÄN</t>
        </is>
      </c>
      <c r="E112" t="inlineStr">
        <is>
          <t>ÖDESHÖG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58621-2020</t>
        </is>
      </c>
      <c r="B113" s="1" t="n">
        <v>44145</v>
      </c>
      <c r="C113" s="1" t="n">
        <v>45706</v>
      </c>
      <c r="D113" t="inlineStr">
        <is>
          <t>ÖSTERGÖTLANDS LÄN</t>
        </is>
      </c>
      <c r="E113" t="inlineStr">
        <is>
          <t>ÖDESHÖG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60286-2020</t>
        </is>
      </c>
      <c r="B114" s="1" t="n">
        <v>44152</v>
      </c>
      <c r="C114" s="1" t="n">
        <v>45706</v>
      </c>
      <c r="D114" t="inlineStr">
        <is>
          <t>ÖSTERGÖTLANDS LÄN</t>
        </is>
      </c>
      <c r="E114" t="inlineStr">
        <is>
          <t>ÖDESHÖG</t>
        </is>
      </c>
      <c r="F114" t="inlineStr">
        <is>
          <t>Kyrkan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62199-2020</t>
        </is>
      </c>
      <c r="B115" s="1" t="n">
        <v>44159</v>
      </c>
      <c r="C115" s="1" t="n">
        <v>45706</v>
      </c>
      <c r="D115" t="inlineStr">
        <is>
          <t>ÖSTERGÖTLANDS LÄN</t>
        </is>
      </c>
      <c r="E115" t="inlineStr">
        <is>
          <t>ÖDESHÖG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62207-2020</t>
        </is>
      </c>
      <c r="B116" s="1" t="n">
        <v>44159</v>
      </c>
      <c r="C116" s="1" t="n">
        <v>45706</v>
      </c>
      <c r="D116" t="inlineStr">
        <is>
          <t>ÖSTERGÖTLANDS LÄN</t>
        </is>
      </c>
      <c r="E116" t="inlineStr">
        <is>
          <t>ÖDESHÖG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63333-2020</t>
        </is>
      </c>
      <c r="B117" s="1" t="n">
        <v>44165</v>
      </c>
      <c r="C117" s="1" t="n">
        <v>45706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4.5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67737-2020</t>
        </is>
      </c>
      <c r="B118" s="1" t="n">
        <v>44182</v>
      </c>
      <c r="C118" s="1" t="n">
        <v>45706</v>
      </c>
      <c r="D118" t="inlineStr">
        <is>
          <t>ÖSTERGÖTLANDS LÄN</t>
        </is>
      </c>
      <c r="E118" t="inlineStr">
        <is>
          <t>ÖDESHÖG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67754-2020</t>
        </is>
      </c>
      <c r="B119" s="1" t="n">
        <v>44182</v>
      </c>
      <c r="C119" s="1" t="n">
        <v>45706</v>
      </c>
      <c r="D119" t="inlineStr">
        <is>
          <t>ÖSTERGÖTLANDS LÄN</t>
        </is>
      </c>
      <c r="E119" t="inlineStr">
        <is>
          <t>ÖDESHÖG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67746-2020</t>
        </is>
      </c>
      <c r="B120" s="1" t="n">
        <v>44182</v>
      </c>
      <c r="C120" s="1" t="n">
        <v>45706</v>
      </c>
      <c r="D120" t="inlineStr">
        <is>
          <t>ÖSTERGÖTLANDS LÄN</t>
        </is>
      </c>
      <c r="E120" t="inlineStr">
        <is>
          <t>ÖDESHÖG</t>
        </is>
      </c>
      <c r="G120" t="n">
        <v>15.7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67956-2020</t>
        </is>
      </c>
      <c r="B121" s="1" t="n">
        <v>44182</v>
      </c>
      <c r="C121" s="1" t="n">
        <v>45706</v>
      </c>
      <c r="D121" t="inlineStr">
        <is>
          <t>ÖSTERGÖTLANDS LÄN</t>
        </is>
      </c>
      <c r="E121" t="inlineStr">
        <is>
          <t>ÖDESHÖG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67963-2020</t>
        </is>
      </c>
      <c r="B122" s="1" t="n">
        <v>44182</v>
      </c>
      <c r="C122" s="1" t="n">
        <v>45706</v>
      </c>
      <c r="D122" t="inlineStr">
        <is>
          <t>ÖSTERGÖTLANDS LÄN</t>
        </is>
      </c>
      <c r="E122" t="inlineStr">
        <is>
          <t>ÖDESHÖG</t>
        </is>
      </c>
      <c r="G122" t="n">
        <v>9.699999999999999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1702-2021</t>
        </is>
      </c>
      <c r="B123" s="1" t="n">
        <v>44209</v>
      </c>
      <c r="C123" s="1" t="n">
        <v>45706</v>
      </c>
      <c r="D123" t="inlineStr">
        <is>
          <t>ÖSTERGÖTLANDS LÄN</t>
        </is>
      </c>
      <c r="E123" t="inlineStr">
        <is>
          <t>ÖDESHÖG</t>
        </is>
      </c>
      <c r="G123" t="n">
        <v>5.3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5832-2021</t>
        </is>
      </c>
      <c r="B124" s="1" t="n">
        <v>44231</v>
      </c>
      <c r="C124" s="1" t="n">
        <v>45706</v>
      </c>
      <c r="D124" t="inlineStr">
        <is>
          <t>ÖSTERGÖTLANDS LÄN</t>
        </is>
      </c>
      <c r="E124" t="inlineStr">
        <is>
          <t>ÖDESHÖG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7848-2021</t>
        </is>
      </c>
      <c r="B125" s="1" t="n">
        <v>44242</v>
      </c>
      <c r="C125" s="1" t="n">
        <v>45706</v>
      </c>
      <c r="D125" t="inlineStr">
        <is>
          <t>ÖSTERGÖTLANDS LÄN</t>
        </is>
      </c>
      <c r="E125" t="inlineStr">
        <is>
          <t>ÖDESHÖG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7854-2021</t>
        </is>
      </c>
      <c r="B126" s="1" t="n">
        <v>44242</v>
      </c>
      <c r="C126" s="1" t="n">
        <v>45706</v>
      </c>
      <c r="D126" t="inlineStr">
        <is>
          <t>ÖSTERGÖTLANDS LÄN</t>
        </is>
      </c>
      <c r="E126" t="inlineStr">
        <is>
          <t>ÖDESHÖG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9500-2021</t>
        </is>
      </c>
      <c r="B127" s="1" t="n">
        <v>44251</v>
      </c>
      <c r="C127" s="1" t="n">
        <v>45706</v>
      </c>
      <c r="D127" t="inlineStr">
        <is>
          <t>ÖSTERGÖTLANDS LÄN</t>
        </is>
      </c>
      <c r="E127" t="inlineStr">
        <is>
          <t>ÖDESHÖG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9709-2021</t>
        </is>
      </c>
      <c r="B128" s="1" t="n">
        <v>44252</v>
      </c>
      <c r="C128" s="1" t="n">
        <v>45706</v>
      </c>
      <c r="D128" t="inlineStr">
        <is>
          <t>ÖSTERGÖTLANDS LÄN</t>
        </is>
      </c>
      <c r="E128" t="inlineStr">
        <is>
          <t>ÖDESHÖG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11744-2021</t>
        </is>
      </c>
      <c r="B129" s="1" t="n">
        <v>44265</v>
      </c>
      <c r="C129" s="1" t="n">
        <v>45706</v>
      </c>
      <c r="D129" t="inlineStr">
        <is>
          <t>ÖSTERGÖTLANDS LÄN</t>
        </is>
      </c>
      <c r="E129" t="inlineStr">
        <is>
          <t>ÖDESHÖG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18840-2021</t>
        </is>
      </c>
      <c r="B130" s="1" t="n">
        <v>44307</v>
      </c>
      <c r="C130" s="1" t="n">
        <v>45706</v>
      </c>
      <c r="D130" t="inlineStr">
        <is>
          <t>ÖSTERGÖTLANDS LÄN</t>
        </is>
      </c>
      <c r="E130" t="inlineStr">
        <is>
          <t>ÖDESHÖG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28137-2021</t>
        </is>
      </c>
      <c r="B131" s="1" t="n">
        <v>44355</v>
      </c>
      <c r="C131" s="1" t="n">
        <v>45706</v>
      </c>
      <c r="D131" t="inlineStr">
        <is>
          <t>ÖSTERGÖTLANDS LÄN</t>
        </is>
      </c>
      <c r="E131" t="inlineStr">
        <is>
          <t>ÖDESHÖG</t>
        </is>
      </c>
      <c r="G131" t="n">
        <v>9.5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28477-2021</t>
        </is>
      </c>
      <c r="B132" s="1" t="n">
        <v>44356</v>
      </c>
      <c r="C132" s="1" t="n">
        <v>45706</v>
      </c>
      <c r="D132" t="inlineStr">
        <is>
          <t>ÖSTERGÖTLANDS LÄN</t>
        </is>
      </c>
      <c r="E132" t="inlineStr">
        <is>
          <t>ÖDESHÖG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28390-2021</t>
        </is>
      </c>
      <c r="B133" s="1" t="n">
        <v>44356</v>
      </c>
      <c r="C133" s="1" t="n">
        <v>45706</v>
      </c>
      <c r="D133" t="inlineStr">
        <is>
          <t>ÖSTERGÖTLANDS LÄN</t>
        </is>
      </c>
      <c r="E133" t="inlineStr">
        <is>
          <t>ÖDESHÖG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28429-2021</t>
        </is>
      </c>
      <c r="B134" s="1" t="n">
        <v>44356</v>
      </c>
      <c r="C134" s="1" t="n">
        <v>45706</v>
      </c>
      <c r="D134" t="inlineStr">
        <is>
          <t>ÖSTERGÖTLANDS LÄN</t>
        </is>
      </c>
      <c r="E134" t="inlineStr">
        <is>
          <t>ÖDESHÖG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29126-2021</t>
        </is>
      </c>
      <c r="B135" s="1" t="n">
        <v>44358</v>
      </c>
      <c r="C135" s="1" t="n">
        <v>45706</v>
      </c>
      <c r="D135" t="inlineStr">
        <is>
          <t>ÖSTERGÖTLANDS LÄN</t>
        </is>
      </c>
      <c r="E135" t="inlineStr">
        <is>
          <t>ÖDESHÖG</t>
        </is>
      </c>
      <c r="F135" t="inlineStr">
        <is>
          <t>Allmännings- och besparingsskogar</t>
        </is>
      </c>
      <c r="G135" t="n">
        <v>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29105-2021</t>
        </is>
      </c>
      <c r="B136" s="1" t="n">
        <v>44358</v>
      </c>
      <c r="C136" s="1" t="n">
        <v>45706</v>
      </c>
      <c r="D136" t="inlineStr">
        <is>
          <t>ÖSTERGÖTLANDS LÄN</t>
        </is>
      </c>
      <c r="E136" t="inlineStr">
        <is>
          <t>ÖDESHÖG</t>
        </is>
      </c>
      <c r="F136" t="inlineStr">
        <is>
          <t>Allmännings- och besparingsskogar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30471-2021</t>
        </is>
      </c>
      <c r="B137" s="1" t="n">
        <v>44364</v>
      </c>
      <c r="C137" s="1" t="n">
        <v>45706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35474-2021</t>
        </is>
      </c>
      <c r="B138" s="1" t="n">
        <v>44385</v>
      </c>
      <c r="C138" s="1" t="n">
        <v>45706</v>
      </c>
      <c r="D138" t="inlineStr">
        <is>
          <t>ÖSTERGÖTLANDS LÄN</t>
        </is>
      </c>
      <c r="E138" t="inlineStr">
        <is>
          <t>ÖDESHÖG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35597-2021</t>
        </is>
      </c>
      <c r="B139" s="1" t="n">
        <v>44386</v>
      </c>
      <c r="C139" s="1" t="n">
        <v>45706</v>
      </c>
      <c r="D139" t="inlineStr">
        <is>
          <t>ÖSTERGÖTLANDS LÄN</t>
        </is>
      </c>
      <c r="E139" t="inlineStr">
        <is>
          <t>ÖDESHÖG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39640-2021</t>
        </is>
      </c>
      <c r="B140" s="1" t="n">
        <v>44417</v>
      </c>
      <c r="C140" s="1" t="n">
        <v>45706</v>
      </c>
      <c r="D140" t="inlineStr">
        <is>
          <t>ÖSTERGÖTLANDS LÄN</t>
        </is>
      </c>
      <c r="E140" t="inlineStr">
        <is>
          <t>ÖDESHÖG</t>
        </is>
      </c>
      <c r="F140" t="inlineStr">
        <is>
          <t>Allmännings- och besparingsskogar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40811-2021</t>
        </is>
      </c>
      <c r="B141" s="1" t="n">
        <v>44421</v>
      </c>
      <c r="C141" s="1" t="n">
        <v>45706</v>
      </c>
      <c r="D141" t="inlineStr">
        <is>
          <t>ÖSTERGÖTLANDS LÄN</t>
        </is>
      </c>
      <c r="E141" t="inlineStr">
        <is>
          <t>ÖDESHÖG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51771-2021</t>
        </is>
      </c>
      <c r="B142" s="1" t="n">
        <v>44462</v>
      </c>
      <c r="C142" s="1" t="n">
        <v>45706</v>
      </c>
      <c r="D142" t="inlineStr">
        <is>
          <t>ÖSTERGÖTLANDS LÄN</t>
        </is>
      </c>
      <c r="E142" t="inlineStr">
        <is>
          <t>ÖDESHÖG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52476-2021</t>
        </is>
      </c>
      <c r="B143" s="1" t="n">
        <v>44466</v>
      </c>
      <c r="C143" s="1" t="n">
        <v>45706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54226-2021</t>
        </is>
      </c>
      <c r="B144" s="1" t="n">
        <v>44470</v>
      </c>
      <c r="C144" s="1" t="n">
        <v>45706</v>
      </c>
      <c r="D144" t="inlineStr">
        <is>
          <t>ÖSTERGÖTLANDS LÄN</t>
        </is>
      </c>
      <c r="E144" t="inlineStr">
        <is>
          <t>ÖDESHÖG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58052-2021</t>
        </is>
      </c>
      <c r="B145" s="1" t="n">
        <v>44487</v>
      </c>
      <c r="C145" s="1" t="n">
        <v>45706</v>
      </c>
      <c r="D145" t="inlineStr">
        <is>
          <t>ÖSTERGÖTLANDS LÄN</t>
        </is>
      </c>
      <c r="E145" t="inlineStr">
        <is>
          <t>ÖDESHÖG</t>
        </is>
      </c>
      <c r="F145" t="inlineStr">
        <is>
          <t>Sveaskog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61880-2021</t>
        </is>
      </c>
      <c r="B146" s="1" t="n">
        <v>44502</v>
      </c>
      <c r="C146" s="1" t="n">
        <v>45706</v>
      </c>
      <c r="D146" t="inlineStr">
        <is>
          <t>ÖSTERGÖTLANDS LÄN</t>
        </is>
      </c>
      <c r="E146" t="inlineStr">
        <is>
          <t>ÖDESHÖG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62726-2021</t>
        </is>
      </c>
      <c r="B147" s="1" t="n">
        <v>44504</v>
      </c>
      <c r="C147" s="1" t="n">
        <v>45706</v>
      </c>
      <c r="D147" t="inlineStr">
        <is>
          <t>ÖSTERGÖTLANDS LÄN</t>
        </is>
      </c>
      <c r="E147" t="inlineStr">
        <is>
          <t>ÖDESHÖG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62919-2021</t>
        </is>
      </c>
      <c r="B148" s="1" t="n">
        <v>44504</v>
      </c>
      <c r="C148" s="1" t="n">
        <v>45706</v>
      </c>
      <c r="D148" t="inlineStr">
        <is>
          <t>ÖSTERGÖTLANDS LÄN</t>
        </is>
      </c>
      <c r="E148" t="inlineStr">
        <is>
          <t>ÖDESHÖG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63666-2021</t>
        </is>
      </c>
      <c r="B149" s="1" t="n">
        <v>44509</v>
      </c>
      <c r="C149" s="1" t="n">
        <v>45706</v>
      </c>
      <c r="D149" t="inlineStr">
        <is>
          <t>ÖSTERGÖTLANDS LÄN</t>
        </is>
      </c>
      <c r="E149" t="inlineStr">
        <is>
          <t>ÖDESHÖG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63668-2021</t>
        </is>
      </c>
      <c r="B150" s="1" t="n">
        <v>44509</v>
      </c>
      <c r="C150" s="1" t="n">
        <v>45706</v>
      </c>
      <c r="D150" t="inlineStr">
        <is>
          <t>ÖSTERGÖTLANDS LÄN</t>
        </is>
      </c>
      <c r="E150" t="inlineStr">
        <is>
          <t>ÖDESHÖG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64251-2021</t>
        </is>
      </c>
      <c r="B151" s="1" t="n">
        <v>44510</v>
      </c>
      <c r="C151" s="1" t="n">
        <v>45706</v>
      </c>
      <c r="D151" t="inlineStr">
        <is>
          <t>ÖSTERGÖTLANDS LÄN</t>
        </is>
      </c>
      <c r="E151" t="inlineStr">
        <is>
          <t>ÖDESHÖG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64254-2021</t>
        </is>
      </c>
      <c r="B152" s="1" t="n">
        <v>44510</v>
      </c>
      <c r="C152" s="1" t="n">
        <v>45706</v>
      </c>
      <c r="D152" t="inlineStr">
        <is>
          <t>ÖSTERGÖTLANDS LÄN</t>
        </is>
      </c>
      <c r="E152" t="inlineStr">
        <is>
          <t>ÖDESHÖG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64622-2021</t>
        </is>
      </c>
      <c r="B153" s="1" t="n">
        <v>44511</v>
      </c>
      <c r="C153" s="1" t="n">
        <v>45706</v>
      </c>
      <c r="D153" t="inlineStr">
        <is>
          <t>ÖSTERGÖTLANDS LÄN</t>
        </is>
      </c>
      <c r="E153" t="inlineStr">
        <is>
          <t>ÖDESHÖG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64802-2021</t>
        </is>
      </c>
      <c r="B154" s="1" t="n">
        <v>44512</v>
      </c>
      <c r="C154" s="1" t="n">
        <v>45706</v>
      </c>
      <c r="D154" t="inlineStr">
        <is>
          <t>ÖSTERGÖTLANDS LÄN</t>
        </is>
      </c>
      <c r="E154" t="inlineStr">
        <is>
          <t>ÖDESHÖG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65821-2021</t>
        </is>
      </c>
      <c r="B155" s="1" t="n">
        <v>44517</v>
      </c>
      <c r="C155" s="1" t="n">
        <v>45706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71038-2021</t>
        </is>
      </c>
      <c r="B156" s="1" t="n">
        <v>44538</v>
      </c>
      <c r="C156" s="1" t="n">
        <v>45706</v>
      </c>
      <c r="D156" t="inlineStr">
        <is>
          <t>ÖSTERGÖTLANDS LÄN</t>
        </is>
      </c>
      <c r="E156" t="inlineStr">
        <is>
          <t>ÖDESHÖG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71034-2021</t>
        </is>
      </c>
      <c r="B157" s="1" t="n">
        <v>44538</v>
      </c>
      <c r="C157" s="1" t="n">
        <v>45706</v>
      </c>
      <c r="D157" t="inlineStr">
        <is>
          <t>ÖSTERGÖTLANDS LÄN</t>
        </is>
      </c>
      <c r="E157" t="inlineStr">
        <is>
          <t>ÖDESHÖG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71029-2021</t>
        </is>
      </c>
      <c r="B158" s="1" t="n">
        <v>44538</v>
      </c>
      <c r="C158" s="1" t="n">
        <v>45706</v>
      </c>
      <c r="D158" t="inlineStr">
        <is>
          <t>ÖSTERGÖTLANDS LÄN</t>
        </is>
      </c>
      <c r="E158" t="inlineStr">
        <is>
          <t>ÖDESHÖG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71514-2021</t>
        </is>
      </c>
      <c r="B159" s="1" t="n">
        <v>44540</v>
      </c>
      <c r="C159" s="1" t="n">
        <v>45706</v>
      </c>
      <c r="D159" t="inlineStr">
        <is>
          <t>ÖSTERGÖTLANDS LÄN</t>
        </is>
      </c>
      <c r="E159" t="inlineStr">
        <is>
          <t>ÖDESHÖG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72603-2021</t>
        </is>
      </c>
      <c r="B160" s="1" t="n">
        <v>44546</v>
      </c>
      <c r="C160" s="1" t="n">
        <v>45706</v>
      </c>
      <c r="D160" t="inlineStr">
        <is>
          <t>ÖSTERGÖTLANDS LÄN</t>
        </is>
      </c>
      <c r="E160" t="inlineStr">
        <is>
          <t>ÖDESHÖG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107-2022</t>
        </is>
      </c>
      <c r="B161" s="1" t="n">
        <v>44564</v>
      </c>
      <c r="C161" s="1" t="n">
        <v>45706</v>
      </c>
      <c r="D161" t="inlineStr">
        <is>
          <t>ÖSTERGÖTLANDS LÄN</t>
        </is>
      </c>
      <c r="E161" t="inlineStr">
        <is>
          <t>ÖDESHÖG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1312-2022</t>
        </is>
      </c>
      <c r="B162" s="1" t="n">
        <v>44572</v>
      </c>
      <c r="C162" s="1" t="n">
        <v>45706</v>
      </c>
      <c r="D162" t="inlineStr">
        <is>
          <t>ÖSTERGÖTLANDS LÄN</t>
        </is>
      </c>
      <c r="E162" t="inlineStr">
        <is>
          <t>ÖDESHÖG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3122-2022</t>
        </is>
      </c>
      <c r="B163" s="1" t="n">
        <v>44582</v>
      </c>
      <c r="C163" s="1" t="n">
        <v>45706</v>
      </c>
      <c r="D163" t="inlineStr">
        <is>
          <t>ÖSTERGÖTLANDS LÄN</t>
        </is>
      </c>
      <c r="E163" t="inlineStr">
        <is>
          <t>ÖDESHÖG</t>
        </is>
      </c>
      <c r="G163" t="n">
        <v>0.1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4772-2022</t>
        </is>
      </c>
      <c r="B164" s="1" t="n">
        <v>44592</v>
      </c>
      <c r="C164" s="1" t="n">
        <v>45706</v>
      </c>
      <c r="D164" t="inlineStr">
        <is>
          <t>ÖSTERGÖTLANDS LÄN</t>
        </is>
      </c>
      <c r="E164" t="inlineStr">
        <is>
          <t>ÖDESHÖG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8515-2022</t>
        </is>
      </c>
      <c r="B165" s="1" t="n">
        <v>44613</v>
      </c>
      <c r="C165" s="1" t="n">
        <v>45706</v>
      </c>
      <c r="D165" t="inlineStr">
        <is>
          <t>ÖSTERGÖTLANDS LÄN</t>
        </is>
      </c>
      <c r="E165" t="inlineStr">
        <is>
          <t>ÖDESHÖG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8913-2022</t>
        </is>
      </c>
      <c r="B166" s="1" t="n">
        <v>44614</v>
      </c>
      <c r="C166" s="1" t="n">
        <v>45706</v>
      </c>
      <c r="D166" t="inlineStr">
        <is>
          <t>ÖSTERGÖTLANDS LÄN</t>
        </is>
      </c>
      <c r="E166" t="inlineStr">
        <is>
          <t>ÖDESHÖG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9039-2022</t>
        </is>
      </c>
      <c r="B167" s="1" t="n">
        <v>44615</v>
      </c>
      <c r="C167" s="1" t="n">
        <v>45706</v>
      </c>
      <c r="D167" t="inlineStr">
        <is>
          <t>ÖSTERGÖTLANDS LÄN</t>
        </is>
      </c>
      <c r="E167" t="inlineStr">
        <is>
          <t>ÖDESHÖG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9676-2022</t>
        </is>
      </c>
      <c r="B168" s="1" t="n">
        <v>44617</v>
      </c>
      <c r="C168" s="1" t="n">
        <v>45706</v>
      </c>
      <c r="D168" t="inlineStr">
        <is>
          <t>ÖSTERGÖTLANDS LÄN</t>
        </is>
      </c>
      <c r="E168" t="inlineStr">
        <is>
          <t>ÖDESHÖG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10226-2022</t>
        </is>
      </c>
      <c r="B169" s="1" t="n">
        <v>44622</v>
      </c>
      <c r="C169" s="1" t="n">
        <v>45706</v>
      </c>
      <c r="D169" t="inlineStr">
        <is>
          <t>ÖSTERGÖTLANDS LÄN</t>
        </is>
      </c>
      <c r="E169" t="inlineStr">
        <is>
          <t>ÖDESHÖG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10329-2022</t>
        </is>
      </c>
      <c r="B170" s="1" t="n">
        <v>44623</v>
      </c>
      <c r="C170" s="1" t="n">
        <v>45706</v>
      </c>
      <c r="D170" t="inlineStr">
        <is>
          <t>ÖSTERGÖTLANDS LÄN</t>
        </is>
      </c>
      <c r="E170" t="inlineStr">
        <is>
          <t>ÖDESHÖG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10335-2022</t>
        </is>
      </c>
      <c r="B171" s="1" t="n">
        <v>44623</v>
      </c>
      <c r="C171" s="1" t="n">
        <v>45706</v>
      </c>
      <c r="D171" t="inlineStr">
        <is>
          <t>ÖSTERGÖTLANDS LÄN</t>
        </is>
      </c>
      <c r="E171" t="inlineStr">
        <is>
          <t>ÖDESHÖG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15198-2022</t>
        </is>
      </c>
      <c r="B172" s="1" t="n">
        <v>44658</v>
      </c>
      <c r="C172" s="1" t="n">
        <v>45706</v>
      </c>
      <c r="D172" t="inlineStr">
        <is>
          <t>ÖSTERGÖTLANDS LÄN</t>
        </is>
      </c>
      <c r="E172" t="inlineStr">
        <is>
          <t>ÖDESHÖG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15813-2022</t>
        </is>
      </c>
      <c r="B173" s="1" t="n">
        <v>44664</v>
      </c>
      <c r="C173" s="1" t="n">
        <v>45706</v>
      </c>
      <c r="D173" t="inlineStr">
        <is>
          <t>ÖSTERGÖTLANDS LÄN</t>
        </is>
      </c>
      <c r="E173" t="inlineStr">
        <is>
          <t>ÖDESHÖG</t>
        </is>
      </c>
      <c r="F173" t="inlineStr">
        <is>
          <t>Sveaskog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16152-2022</t>
        </is>
      </c>
      <c r="B174" s="1" t="n">
        <v>44666</v>
      </c>
      <c r="C174" s="1" t="n">
        <v>45706</v>
      </c>
      <c r="D174" t="inlineStr">
        <is>
          <t>ÖSTERGÖTLANDS LÄN</t>
        </is>
      </c>
      <c r="E174" t="inlineStr">
        <is>
          <t>ÖDESHÖG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20244-2022</t>
        </is>
      </c>
      <c r="B175" s="1" t="n">
        <v>44698</v>
      </c>
      <c r="C175" s="1" t="n">
        <v>45706</v>
      </c>
      <c r="D175" t="inlineStr">
        <is>
          <t>ÖSTERGÖTLANDS LÄN</t>
        </is>
      </c>
      <c r="E175" t="inlineStr">
        <is>
          <t>ÖDESHÖG</t>
        </is>
      </c>
      <c r="F175" t="inlineStr">
        <is>
          <t>Allmännings- och besparingsskogar</t>
        </is>
      </c>
      <c r="G175" t="n">
        <v>9.5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20232-2022</t>
        </is>
      </c>
      <c r="B176" s="1" t="n">
        <v>44698</v>
      </c>
      <c r="C176" s="1" t="n">
        <v>45706</v>
      </c>
      <c r="D176" t="inlineStr">
        <is>
          <t>ÖSTERGÖTLANDS LÄN</t>
        </is>
      </c>
      <c r="E176" t="inlineStr">
        <is>
          <t>ÖDESHÖG</t>
        </is>
      </c>
      <c r="F176" t="inlineStr">
        <is>
          <t>Allmännings- och besparingsskogar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20612-2022</t>
        </is>
      </c>
      <c r="B177" s="1" t="n">
        <v>44700</v>
      </c>
      <c r="C177" s="1" t="n">
        <v>45706</v>
      </c>
      <c r="D177" t="inlineStr">
        <is>
          <t>ÖSTERGÖTLANDS LÄN</t>
        </is>
      </c>
      <c r="E177" t="inlineStr">
        <is>
          <t>ÖDESHÖG</t>
        </is>
      </c>
      <c r="F177" t="inlineStr">
        <is>
          <t>Allmännings- och besparingsskogar</t>
        </is>
      </c>
      <c r="G177" t="n">
        <v>8.9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25666-2022</t>
        </is>
      </c>
      <c r="B178" s="1" t="n">
        <v>44733</v>
      </c>
      <c r="C178" s="1" t="n">
        <v>45706</v>
      </c>
      <c r="D178" t="inlineStr">
        <is>
          <t>ÖSTERGÖTLANDS LÄN</t>
        </is>
      </c>
      <c r="E178" t="inlineStr">
        <is>
          <t>ÖDESHÖG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27648-2022</t>
        </is>
      </c>
      <c r="B179" s="1" t="n">
        <v>44743</v>
      </c>
      <c r="C179" s="1" t="n">
        <v>45706</v>
      </c>
      <c r="D179" t="inlineStr">
        <is>
          <t>ÖSTERGÖTLANDS LÄN</t>
        </is>
      </c>
      <c r="E179" t="inlineStr">
        <is>
          <t>ÖDESHÖG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29269-2022</t>
        </is>
      </c>
      <c r="B180" s="1" t="n">
        <v>44750</v>
      </c>
      <c r="C180" s="1" t="n">
        <v>45706</v>
      </c>
      <c r="D180" t="inlineStr">
        <is>
          <t>ÖSTERGÖTLANDS LÄN</t>
        </is>
      </c>
      <c r="E180" t="inlineStr">
        <is>
          <t>ÖDESHÖG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29967-2022</t>
        </is>
      </c>
      <c r="B181" s="1" t="n">
        <v>44756</v>
      </c>
      <c r="C181" s="1" t="n">
        <v>45706</v>
      </c>
      <c r="D181" t="inlineStr">
        <is>
          <t>ÖSTERGÖTLANDS LÄN</t>
        </is>
      </c>
      <c r="E181" t="inlineStr">
        <is>
          <t>ÖDESHÖG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34109-2022</t>
        </is>
      </c>
      <c r="B182" s="1" t="n">
        <v>44791</v>
      </c>
      <c r="C182" s="1" t="n">
        <v>45706</v>
      </c>
      <c r="D182" t="inlineStr">
        <is>
          <t>ÖSTERGÖTLANDS LÄN</t>
        </is>
      </c>
      <c r="E182" t="inlineStr">
        <is>
          <t>ÖDESHÖG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34426-2022</t>
        </is>
      </c>
      <c r="B183" s="1" t="n">
        <v>44792</v>
      </c>
      <c r="C183" s="1" t="n">
        <v>45706</v>
      </c>
      <c r="D183" t="inlineStr">
        <is>
          <t>ÖSTERGÖTLANDS LÄN</t>
        </is>
      </c>
      <c r="E183" t="inlineStr">
        <is>
          <t>ÖDESHÖG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34961-2022</t>
        </is>
      </c>
      <c r="B184" s="1" t="n">
        <v>44796</v>
      </c>
      <c r="C184" s="1" t="n">
        <v>45706</v>
      </c>
      <c r="D184" t="inlineStr">
        <is>
          <t>ÖSTERGÖTLANDS LÄN</t>
        </is>
      </c>
      <c r="E184" t="inlineStr">
        <is>
          <t>ÖDESHÖG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34979-2022</t>
        </is>
      </c>
      <c r="B185" s="1" t="n">
        <v>44796</v>
      </c>
      <c r="C185" s="1" t="n">
        <v>45706</v>
      </c>
      <c r="D185" t="inlineStr">
        <is>
          <t>ÖSTERGÖTLANDS LÄN</t>
        </is>
      </c>
      <c r="E185" t="inlineStr">
        <is>
          <t>ÖDESHÖG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35366-2022</t>
        </is>
      </c>
      <c r="B186" s="1" t="n">
        <v>44798</v>
      </c>
      <c r="C186" s="1" t="n">
        <v>45706</v>
      </c>
      <c r="D186" t="inlineStr">
        <is>
          <t>ÖSTERGÖTLANDS LÄN</t>
        </is>
      </c>
      <c r="E186" t="inlineStr">
        <is>
          <t>ÖDESHÖG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35443-2022</t>
        </is>
      </c>
      <c r="B187" s="1" t="n">
        <v>44798</v>
      </c>
      <c r="C187" s="1" t="n">
        <v>45706</v>
      </c>
      <c r="D187" t="inlineStr">
        <is>
          <t>ÖSTERGÖTLANDS LÄN</t>
        </is>
      </c>
      <c r="E187" t="inlineStr">
        <is>
          <t>ÖDESHÖG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36114-2022</t>
        </is>
      </c>
      <c r="B188" s="1" t="n">
        <v>44803</v>
      </c>
      <c r="C188" s="1" t="n">
        <v>45706</v>
      </c>
      <c r="D188" t="inlineStr">
        <is>
          <t>ÖSTERGÖTLANDS LÄN</t>
        </is>
      </c>
      <c r="E188" t="inlineStr">
        <is>
          <t>ÖDESHÖG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36124-2022</t>
        </is>
      </c>
      <c r="B189" s="1" t="n">
        <v>44803</v>
      </c>
      <c r="C189" s="1" t="n">
        <v>45706</v>
      </c>
      <c r="D189" t="inlineStr">
        <is>
          <t>ÖSTERGÖTLANDS LÄN</t>
        </is>
      </c>
      <c r="E189" t="inlineStr">
        <is>
          <t>ÖDESHÖG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38266-2022</t>
        </is>
      </c>
      <c r="B190" s="1" t="n">
        <v>44812</v>
      </c>
      <c r="C190" s="1" t="n">
        <v>45706</v>
      </c>
      <c r="D190" t="inlineStr">
        <is>
          <t>ÖSTERGÖTLANDS LÄN</t>
        </is>
      </c>
      <c r="E190" t="inlineStr">
        <is>
          <t>ÖDESHÖG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38281-2022</t>
        </is>
      </c>
      <c r="B191" s="1" t="n">
        <v>44812</v>
      </c>
      <c r="C191" s="1" t="n">
        <v>45706</v>
      </c>
      <c r="D191" t="inlineStr">
        <is>
          <t>ÖSTERGÖTLANDS LÄN</t>
        </is>
      </c>
      <c r="E191" t="inlineStr">
        <is>
          <t>ÖDESHÖG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39317-2022</t>
        </is>
      </c>
      <c r="B192" s="1" t="n">
        <v>44817</v>
      </c>
      <c r="C192" s="1" t="n">
        <v>45706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41257-2022</t>
        </is>
      </c>
      <c r="B193" s="1" t="n">
        <v>44820</v>
      </c>
      <c r="C193" s="1" t="n">
        <v>45706</v>
      </c>
      <c r="D193" t="inlineStr">
        <is>
          <t>ÖSTERGÖTLANDS LÄN</t>
        </is>
      </c>
      <c r="E193" t="inlineStr">
        <is>
          <t>ÖDESHÖG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48325-2022</t>
        </is>
      </c>
      <c r="B194" s="1" t="n">
        <v>44858</v>
      </c>
      <c r="C194" s="1" t="n">
        <v>45706</v>
      </c>
      <c r="D194" t="inlineStr">
        <is>
          <t>ÖSTERGÖTLANDS LÄN</t>
        </is>
      </c>
      <c r="E194" t="inlineStr">
        <is>
          <t>ÖDESHÖG</t>
        </is>
      </c>
      <c r="F194" t="inlineStr">
        <is>
          <t>Allmännings- och besparingsskogar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48324-2022</t>
        </is>
      </c>
      <c r="B195" s="1" t="n">
        <v>44858</v>
      </c>
      <c r="C195" s="1" t="n">
        <v>45706</v>
      </c>
      <c r="D195" t="inlineStr">
        <is>
          <t>ÖSTERGÖTLANDS LÄN</t>
        </is>
      </c>
      <c r="E195" t="inlineStr">
        <is>
          <t>ÖDESHÖG</t>
        </is>
      </c>
      <c r="F195" t="inlineStr">
        <is>
          <t>Allmännings- och besparingsskogar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48781-2022</t>
        </is>
      </c>
      <c r="B196" s="1" t="n">
        <v>44859</v>
      </c>
      <c r="C196" s="1" t="n">
        <v>45706</v>
      </c>
      <c r="D196" t="inlineStr">
        <is>
          <t>ÖSTERGÖTLANDS LÄN</t>
        </is>
      </c>
      <c r="E196" t="inlineStr">
        <is>
          <t>ÖDESHÖG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48778-2022</t>
        </is>
      </c>
      <c r="B197" s="1" t="n">
        <v>44859</v>
      </c>
      <c r="C197" s="1" t="n">
        <v>45706</v>
      </c>
      <c r="D197" t="inlineStr">
        <is>
          <t>ÖSTERGÖTLANDS LÄN</t>
        </is>
      </c>
      <c r="E197" t="inlineStr">
        <is>
          <t>ÖDESHÖG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48783-2022</t>
        </is>
      </c>
      <c r="B198" s="1" t="n">
        <v>44859</v>
      </c>
      <c r="C198" s="1" t="n">
        <v>45706</v>
      </c>
      <c r="D198" t="inlineStr">
        <is>
          <t>ÖSTERGÖTLANDS LÄN</t>
        </is>
      </c>
      <c r="E198" t="inlineStr">
        <is>
          <t>ÖDESHÖG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49601-2022</t>
        </is>
      </c>
      <c r="B199" s="1" t="n">
        <v>44862</v>
      </c>
      <c r="C199" s="1" t="n">
        <v>45706</v>
      </c>
      <c r="D199" t="inlineStr">
        <is>
          <t>ÖSTERGÖTLANDS LÄN</t>
        </is>
      </c>
      <c r="E199" t="inlineStr">
        <is>
          <t>ÖDESHÖG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49920-2022</t>
        </is>
      </c>
      <c r="B200" s="1" t="n">
        <v>44865</v>
      </c>
      <c r="C200" s="1" t="n">
        <v>45706</v>
      </c>
      <c r="D200" t="inlineStr">
        <is>
          <t>ÖSTERGÖTLANDS LÄN</t>
        </is>
      </c>
      <c r="E200" t="inlineStr">
        <is>
          <t>ÖDESHÖG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50363-2022</t>
        </is>
      </c>
      <c r="B201" s="1" t="n">
        <v>44866</v>
      </c>
      <c r="C201" s="1" t="n">
        <v>45706</v>
      </c>
      <c r="D201" t="inlineStr">
        <is>
          <t>ÖSTERGÖTLANDS LÄN</t>
        </is>
      </c>
      <c r="E201" t="inlineStr">
        <is>
          <t>ÖDESHÖG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56841-2022</t>
        </is>
      </c>
      <c r="B202" s="1" t="n">
        <v>44894</v>
      </c>
      <c r="C202" s="1" t="n">
        <v>45706</v>
      </c>
      <c r="D202" t="inlineStr">
        <is>
          <t>ÖSTERGÖTLANDS LÄN</t>
        </is>
      </c>
      <c r="E202" t="inlineStr">
        <is>
          <t>ÖDESHÖG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887-2023</t>
        </is>
      </c>
      <c r="B203" s="1" t="n">
        <v>44931</v>
      </c>
      <c r="C203" s="1" t="n">
        <v>45706</v>
      </c>
      <c r="D203" t="inlineStr">
        <is>
          <t>ÖSTERGÖTLANDS LÄN</t>
        </is>
      </c>
      <c r="E203" t="inlineStr">
        <is>
          <t>ÖDESHÖG</t>
        </is>
      </c>
      <c r="G203" t="n">
        <v>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886-2023</t>
        </is>
      </c>
      <c r="B204" s="1" t="n">
        <v>44931</v>
      </c>
      <c r="C204" s="1" t="n">
        <v>45706</v>
      </c>
      <c r="D204" t="inlineStr">
        <is>
          <t>ÖSTERGÖTLANDS LÄN</t>
        </is>
      </c>
      <c r="E204" t="inlineStr">
        <is>
          <t>ÖDESHÖG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1321-2023</t>
        </is>
      </c>
      <c r="B205" s="1" t="n">
        <v>44936</v>
      </c>
      <c r="C205" s="1" t="n">
        <v>45706</v>
      </c>
      <c r="D205" t="inlineStr">
        <is>
          <t>ÖSTERGÖTLANDS LÄN</t>
        </is>
      </c>
      <c r="E205" t="inlineStr">
        <is>
          <t>ÖDESHÖG</t>
        </is>
      </c>
      <c r="G205" t="n">
        <v>5.7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1323-2023</t>
        </is>
      </c>
      <c r="B206" s="1" t="n">
        <v>44936</v>
      </c>
      <c r="C206" s="1" t="n">
        <v>45706</v>
      </c>
      <c r="D206" t="inlineStr">
        <is>
          <t>ÖSTERGÖTLANDS LÄN</t>
        </is>
      </c>
      <c r="E206" t="inlineStr">
        <is>
          <t>ÖDESHÖG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1578-2023</t>
        </is>
      </c>
      <c r="B207" s="1" t="n">
        <v>44937</v>
      </c>
      <c r="C207" s="1" t="n">
        <v>45706</v>
      </c>
      <c r="D207" t="inlineStr">
        <is>
          <t>ÖSTERGÖTLANDS LÄN</t>
        </is>
      </c>
      <c r="E207" t="inlineStr">
        <is>
          <t>ÖDESHÖG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1674-2023</t>
        </is>
      </c>
      <c r="B208" s="1" t="n">
        <v>44938</v>
      </c>
      <c r="C208" s="1" t="n">
        <v>45706</v>
      </c>
      <c r="D208" t="inlineStr">
        <is>
          <t>ÖSTERGÖTLANDS LÄN</t>
        </is>
      </c>
      <c r="E208" t="inlineStr">
        <is>
          <t>ÖDESHÖG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1846-2023</t>
        </is>
      </c>
      <c r="B209" s="1" t="n">
        <v>44938</v>
      </c>
      <c r="C209" s="1" t="n">
        <v>45706</v>
      </c>
      <c r="D209" t="inlineStr">
        <is>
          <t>ÖSTERGÖTLANDS LÄN</t>
        </is>
      </c>
      <c r="E209" t="inlineStr">
        <is>
          <t>ÖDESHÖG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5864-2023</t>
        </is>
      </c>
      <c r="B210" s="1" t="n">
        <v>44963</v>
      </c>
      <c r="C210" s="1" t="n">
        <v>45706</v>
      </c>
      <c r="D210" t="inlineStr">
        <is>
          <t>ÖSTERGÖTLANDS LÄN</t>
        </is>
      </c>
      <c r="E210" t="inlineStr">
        <is>
          <t>ÖDESHÖG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7215-2023</t>
        </is>
      </c>
      <c r="B211" s="1" t="n">
        <v>44970</v>
      </c>
      <c r="C211" s="1" t="n">
        <v>45706</v>
      </c>
      <c r="D211" t="inlineStr">
        <is>
          <t>ÖSTERGÖTLANDS LÄN</t>
        </is>
      </c>
      <c r="E211" t="inlineStr">
        <is>
          <t>ÖDESHÖG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8256-2023</t>
        </is>
      </c>
      <c r="B212" s="1" t="n">
        <v>44974</v>
      </c>
      <c r="C212" s="1" t="n">
        <v>45706</v>
      </c>
      <c r="D212" t="inlineStr">
        <is>
          <t>ÖSTERGÖTLANDS LÄN</t>
        </is>
      </c>
      <c r="E212" t="inlineStr">
        <is>
          <t>ÖDESHÖG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8998-2023</t>
        </is>
      </c>
      <c r="B213" s="1" t="n">
        <v>44979</v>
      </c>
      <c r="C213" s="1" t="n">
        <v>45706</v>
      </c>
      <c r="D213" t="inlineStr">
        <is>
          <t>ÖSTERGÖTLANDS LÄN</t>
        </is>
      </c>
      <c r="E213" t="inlineStr">
        <is>
          <t>ÖDESHÖG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9423-2023</t>
        </is>
      </c>
      <c r="B214" s="1" t="n">
        <v>44981</v>
      </c>
      <c r="C214" s="1" t="n">
        <v>45706</v>
      </c>
      <c r="D214" t="inlineStr">
        <is>
          <t>ÖSTERGÖTLANDS LÄN</t>
        </is>
      </c>
      <c r="E214" t="inlineStr">
        <is>
          <t>ÖDESHÖG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9448-2023</t>
        </is>
      </c>
      <c r="B215" s="1" t="n">
        <v>44981</v>
      </c>
      <c r="C215" s="1" t="n">
        <v>45706</v>
      </c>
      <c r="D215" t="inlineStr">
        <is>
          <t>ÖSTERGÖTLANDS LÄN</t>
        </is>
      </c>
      <c r="E215" t="inlineStr">
        <is>
          <t>ÖDESHÖG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11193-2023</t>
        </is>
      </c>
      <c r="B216" s="1" t="n">
        <v>44992</v>
      </c>
      <c r="C216" s="1" t="n">
        <v>45706</v>
      </c>
      <c r="D216" t="inlineStr">
        <is>
          <t>ÖSTERGÖTLANDS LÄN</t>
        </is>
      </c>
      <c r="E216" t="inlineStr">
        <is>
          <t>ÖDESHÖG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11202-2023</t>
        </is>
      </c>
      <c r="B217" s="1" t="n">
        <v>44992</v>
      </c>
      <c r="C217" s="1" t="n">
        <v>45706</v>
      </c>
      <c r="D217" t="inlineStr">
        <is>
          <t>ÖSTERGÖTLANDS LÄN</t>
        </is>
      </c>
      <c r="E217" t="inlineStr">
        <is>
          <t>ÖDESHÖG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11192-2023</t>
        </is>
      </c>
      <c r="B218" s="1" t="n">
        <v>44992</v>
      </c>
      <c r="C218" s="1" t="n">
        <v>45706</v>
      </c>
      <c r="D218" t="inlineStr">
        <is>
          <t>ÖSTERGÖTLANDS LÄN</t>
        </is>
      </c>
      <c r="E218" t="inlineStr">
        <is>
          <t>ÖDESHÖG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11967-2023</t>
        </is>
      </c>
      <c r="B219" s="1" t="n">
        <v>44994</v>
      </c>
      <c r="C219" s="1" t="n">
        <v>45706</v>
      </c>
      <c r="D219" t="inlineStr">
        <is>
          <t>ÖSTERGÖTLANDS LÄN</t>
        </is>
      </c>
      <c r="E219" t="inlineStr">
        <is>
          <t>ÖDESHÖG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11972-2023</t>
        </is>
      </c>
      <c r="B220" s="1" t="n">
        <v>44994</v>
      </c>
      <c r="C220" s="1" t="n">
        <v>45706</v>
      </c>
      <c r="D220" t="inlineStr">
        <is>
          <t>ÖSTERGÖTLANDS LÄN</t>
        </is>
      </c>
      <c r="E220" t="inlineStr">
        <is>
          <t>ÖDESHÖG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12332-2023</t>
        </is>
      </c>
      <c r="B221" s="1" t="n">
        <v>44999</v>
      </c>
      <c r="C221" s="1" t="n">
        <v>45706</v>
      </c>
      <c r="D221" t="inlineStr">
        <is>
          <t>ÖSTERGÖTLANDS LÄN</t>
        </is>
      </c>
      <c r="E221" t="inlineStr">
        <is>
          <t>ÖDESHÖG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12702-2023</t>
        </is>
      </c>
      <c r="B222" s="1" t="n">
        <v>45000</v>
      </c>
      <c r="C222" s="1" t="n">
        <v>45706</v>
      </c>
      <c r="D222" t="inlineStr">
        <is>
          <t>ÖSTERGÖTLANDS LÄN</t>
        </is>
      </c>
      <c r="E222" t="inlineStr">
        <is>
          <t>ÖDESHÖG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13129-2023</t>
        </is>
      </c>
      <c r="B223" s="1" t="n">
        <v>45002</v>
      </c>
      <c r="C223" s="1" t="n">
        <v>45706</v>
      </c>
      <c r="D223" t="inlineStr">
        <is>
          <t>ÖSTERGÖTLANDS LÄN</t>
        </is>
      </c>
      <c r="E223" t="inlineStr">
        <is>
          <t>ÖDESHÖG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13551-2023</t>
        </is>
      </c>
      <c r="B224" s="1" t="n">
        <v>45006</v>
      </c>
      <c r="C224" s="1" t="n">
        <v>45706</v>
      </c>
      <c r="D224" t="inlineStr">
        <is>
          <t>ÖSTERGÖTLANDS LÄN</t>
        </is>
      </c>
      <c r="E224" t="inlineStr">
        <is>
          <t>ÖDESHÖG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13564-2023</t>
        </is>
      </c>
      <c r="B225" s="1" t="n">
        <v>45006</v>
      </c>
      <c r="C225" s="1" t="n">
        <v>45706</v>
      </c>
      <c r="D225" t="inlineStr">
        <is>
          <t>ÖSTERGÖTLANDS LÄN</t>
        </is>
      </c>
      <c r="E225" t="inlineStr">
        <is>
          <t>ÖDESHÖG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14166-2023</t>
        </is>
      </c>
      <c r="B226" s="1" t="n">
        <v>45009</v>
      </c>
      <c r="C226" s="1" t="n">
        <v>45706</v>
      </c>
      <c r="D226" t="inlineStr">
        <is>
          <t>ÖSTERGÖTLANDS LÄN</t>
        </is>
      </c>
      <c r="E226" t="inlineStr">
        <is>
          <t>ÖDESHÖG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14156-2023</t>
        </is>
      </c>
      <c r="B227" s="1" t="n">
        <v>45009</v>
      </c>
      <c r="C227" s="1" t="n">
        <v>45706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14185-2023</t>
        </is>
      </c>
      <c r="B228" s="1" t="n">
        <v>45009</v>
      </c>
      <c r="C228" s="1" t="n">
        <v>45706</v>
      </c>
      <c r="D228" t="inlineStr">
        <is>
          <t>ÖSTERGÖTLANDS LÄN</t>
        </is>
      </c>
      <c r="E228" t="inlineStr">
        <is>
          <t>ÖDESHÖG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14728-2023</t>
        </is>
      </c>
      <c r="B229" s="1" t="n">
        <v>45014</v>
      </c>
      <c r="C229" s="1" t="n">
        <v>45706</v>
      </c>
      <c r="D229" t="inlineStr">
        <is>
          <t>ÖSTERGÖTLANDS LÄN</t>
        </is>
      </c>
      <c r="E229" t="inlineStr">
        <is>
          <t>ÖDESHÖG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14701-2023</t>
        </is>
      </c>
      <c r="B230" s="1" t="n">
        <v>45014</v>
      </c>
      <c r="C230" s="1" t="n">
        <v>45706</v>
      </c>
      <c r="D230" t="inlineStr">
        <is>
          <t>ÖSTERGÖTLANDS LÄN</t>
        </is>
      </c>
      <c r="E230" t="inlineStr">
        <is>
          <t>ÖDESHÖG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14750-2023</t>
        </is>
      </c>
      <c r="B231" s="1" t="n">
        <v>45014</v>
      </c>
      <c r="C231" s="1" t="n">
        <v>45706</v>
      </c>
      <c r="D231" t="inlineStr">
        <is>
          <t>ÖSTERGÖTLANDS LÄN</t>
        </is>
      </c>
      <c r="E231" t="inlineStr">
        <is>
          <t>ÖDESHÖG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14993-2023</t>
        </is>
      </c>
      <c r="B232" s="1" t="n">
        <v>45015</v>
      </c>
      <c r="C232" s="1" t="n">
        <v>45706</v>
      </c>
      <c r="D232" t="inlineStr">
        <is>
          <t>ÖSTERGÖTLANDS LÄN</t>
        </is>
      </c>
      <c r="E232" t="inlineStr">
        <is>
          <t>ÖDESHÖG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16163-2023</t>
        </is>
      </c>
      <c r="B233" s="1" t="n">
        <v>45027</v>
      </c>
      <c r="C233" s="1" t="n">
        <v>45706</v>
      </c>
      <c r="D233" t="inlineStr">
        <is>
          <t>ÖSTERGÖTLANDS LÄN</t>
        </is>
      </c>
      <c r="E233" t="inlineStr">
        <is>
          <t>ÖDESHÖG</t>
        </is>
      </c>
      <c r="F233" t="inlineStr">
        <is>
          <t>Allmännings- och besparingsskogar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16167-2023</t>
        </is>
      </c>
      <c r="B234" s="1" t="n">
        <v>45027</v>
      </c>
      <c r="C234" s="1" t="n">
        <v>45706</v>
      </c>
      <c r="D234" t="inlineStr">
        <is>
          <t>ÖSTERGÖTLANDS LÄN</t>
        </is>
      </c>
      <c r="E234" t="inlineStr">
        <is>
          <t>ÖDESHÖG</t>
        </is>
      </c>
      <c r="F234" t="inlineStr">
        <is>
          <t>Allmännings- och besparingsskogar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16162-2023</t>
        </is>
      </c>
      <c r="B235" s="1" t="n">
        <v>45027</v>
      </c>
      <c r="C235" s="1" t="n">
        <v>45706</v>
      </c>
      <c r="D235" t="inlineStr">
        <is>
          <t>ÖSTERGÖTLANDS LÄN</t>
        </is>
      </c>
      <c r="E235" t="inlineStr">
        <is>
          <t>ÖDESHÖG</t>
        </is>
      </c>
      <c r="F235" t="inlineStr">
        <is>
          <t>Allmännings- och besparingsskogar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16166-2023</t>
        </is>
      </c>
      <c r="B236" s="1" t="n">
        <v>45027</v>
      </c>
      <c r="C236" s="1" t="n">
        <v>45706</v>
      </c>
      <c r="D236" t="inlineStr">
        <is>
          <t>ÖSTERGÖTLANDS LÄN</t>
        </is>
      </c>
      <c r="E236" t="inlineStr">
        <is>
          <t>ÖDESHÖG</t>
        </is>
      </c>
      <c r="F236" t="inlineStr">
        <is>
          <t>Allmännings- och besparingsskogar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16170-2023</t>
        </is>
      </c>
      <c r="B237" s="1" t="n">
        <v>45027</v>
      </c>
      <c r="C237" s="1" t="n">
        <v>45706</v>
      </c>
      <c r="D237" t="inlineStr">
        <is>
          <t>ÖSTERGÖTLANDS LÄN</t>
        </is>
      </c>
      <c r="E237" t="inlineStr">
        <is>
          <t>ÖDESHÖG</t>
        </is>
      </c>
      <c r="F237" t="inlineStr">
        <is>
          <t>Allmännings- och besparingsskogar</t>
        </is>
      </c>
      <c r="G237" t="n">
        <v>6.6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16164-2023</t>
        </is>
      </c>
      <c r="B238" s="1" t="n">
        <v>45027</v>
      </c>
      <c r="C238" s="1" t="n">
        <v>45706</v>
      </c>
      <c r="D238" t="inlineStr">
        <is>
          <t>ÖSTERGÖTLANDS LÄN</t>
        </is>
      </c>
      <c r="E238" t="inlineStr">
        <is>
          <t>ÖDESHÖG</t>
        </is>
      </c>
      <c r="F238" t="inlineStr">
        <is>
          <t>Allmännings- och besparingsskogar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16168-2023</t>
        </is>
      </c>
      <c r="B239" s="1" t="n">
        <v>45027</v>
      </c>
      <c r="C239" s="1" t="n">
        <v>45706</v>
      </c>
      <c r="D239" t="inlineStr">
        <is>
          <t>ÖSTERGÖTLANDS LÄN</t>
        </is>
      </c>
      <c r="E239" t="inlineStr">
        <is>
          <t>ÖDESHÖG</t>
        </is>
      </c>
      <c r="F239" t="inlineStr">
        <is>
          <t>Allmännings- och besparingsskogar</t>
        </is>
      </c>
      <c r="G239" t="n">
        <v>3.4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16634-2023</t>
        </is>
      </c>
      <c r="B240" s="1" t="n">
        <v>45030</v>
      </c>
      <c r="C240" s="1" t="n">
        <v>45706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17243-2023</t>
        </is>
      </c>
      <c r="B241" s="1" t="n">
        <v>45035</v>
      </c>
      <c r="C241" s="1" t="n">
        <v>45706</v>
      </c>
      <c r="D241" t="inlineStr">
        <is>
          <t>ÖSTERGÖTLANDS LÄN</t>
        </is>
      </c>
      <c r="E241" t="inlineStr">
        <is>
          <t>ÖDESHÖG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17245-2023</t>
        </is>
      </c>
      <c r="B242" s="1" t="n">
        <v>45035</v>
      </c>
      <c r="C242" s="1" t="n">
        <v>45706</v>
      </c>
      <c r="D242" t="inlineStr">
        <is>
          <t>ÖSTERGÖTLANDS LÄN</t>
        </is>
      </c>
      <c r="E242" t="inlineStr">
        <is>
          <t>ÖDESHÖG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19087-2023</t>
        </is>
      </c>
      <c r="B243" s="1" t="n">
        <v>45048</v>
      </c>
      <c r="C243" s="1" t="n">
        <v>45706</v>
      </c>
      <c r="D243" t="inlineStr">
        <is>
          <t>ÖSTERGÖTLANDS LÄN</t>
        </is>
      </c>
      <c r="E243" t="inlineStr">
        <is>
          <t>ÖDESHÖG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19085-2023</t>
        </is>
      </c>
      <c r="B244" s="1" t="n">
        <v>45048</v>
      </c>
      <c r="C244" s="1" t="n">
        <v>45706</v>
      </c>
      <c r="D244" t="inlineStr">
        <is>
          <t>ÖSTERGÖTLANDS LÄN</t>
        </is>
      </c>
      <c r="E244" t="inlineStr">
        <is>
          <t>ÖDESHÖG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19089-2023</t>
        </is>
      </c>
      <c r="B245" s="1" t="n">
        <v>45048</v>
      </c>
      <c r="C245" s="1" t="n">
        <v>45706</v>
      </c>
      <c r="D245" t="inlineStr">
        <is>
          <t>ÖSTERGÖTLANDS LÄN</t>
        </is>
      </c>
      <c r="E245" t="inlineStr">
        <is>
          <t>ÖDESHÖG</t>
        </is>
      </c>
      <c r="G245" t="n">
        <v>4.7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19152-2023</t>
        </is>
      </c>
      <c r="B246" s="1" t="n">
        <v>45048</v>
      </c>
      <c r="C246" s="1" t="n">
        <v>45706</v>
      </c>
      <c r="D246" t="inlineStr">
        <is>
          <t>ÖSTERGÖTLANDS LÄN</t>
        </is>
      </c>
      <c r="E246" t="inlineStr">
        <is>
          <t>ÖDESHÖG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19157-2023</t>
        </is>
      </c>
      <c r="B247" s="1" t="n">
        <v>45048</v>
      </c>
      <c r="C247" s="1" t="n">
        <v>45706</v>
      </c>
      <c r="D247" t="inlineStr">
        <is>
          <t>ÖSTERGÖTLANDS LÄN</t>
        </is>
      </c>
      <c r="E247" t="inlineStr">
        <is>
          <t>ÖDESHÖG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19351-2023</t>
        </is>
      </c>
      <c r="B248" s="1" t="n">
        <v>45049</v>
      </c>
      <c r="C248" s="1" t="n">
        <v>45706</v>
      </c>
      <c r="D248" t="inlineStr">
        <is>
          <t>ÖSTERGÖTLANDS LÄN</t>
        </is>
      </c>
      <c r="E248" t="inlineStr">
        <is>
          <t>ÖDESHÖG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19350-2023</t>
        </is>
      </c>
      <c r="B249" s="1" t="n">
        <v>45049</v>
      </c>
      <c r="C249" s="1" t="n">
        <v>45706</v>
      </c>
      <c r="D249" t="inlineStr">
        <is>
          <t>ÖSTERGÖTLANDS LÄN</t>
        </is>
      </c>
      <c r="E249" t="inlineStr">
        <is>
          <t>ÖDESHÖG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21771-2023</t>
        </is>
      </c>
      <c r="B250" s="1" t="n">
        <v>45065</v>
      </c>
      <c r="C250" s="1" t="n">
        <v>45706</v>
      </c>
      <c r="D250" t="inlineStr">
        <is>
          <t>ÖSTERGÖTLANDS LÄN</t>
        </is>
      </c>
      <c r="E250" t="inlineStr">
        <is>
          <t>ÖDESHÖG</t>
        </is>
      </c>
      <c r="G250" t="n">
        <v>5.5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21770-2023</t>
        </is>
      </c>
      <c r="B251" s="1" t="n">
        <v>45065</v>
      </c>
      <c r="C251" s="1" t="n">
        <v>45706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22086-2023</t>
        </is>
      </c>
      <c r="B252" s="1" t="n">
        <v>45069</v>
      </c>
      <c r="C252" s="1" t="n">
        <v>45706</v>
      </c>
      <c r="D252" t="inlineStr">
        <is>
          <t>ÖSTERGÖTLANDS LÄN</t>
        </is>
      </c>
      <c r="E252" t="inlineStr">
        <is>
          <t>ÖDESHÖG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22088-2023</t>
        </is>
      </c>
      <c r="B253" s="1" t="n">
        <v>45069</v>
      </c>
      <c r="C253" s="1" t="n">
        <v>45706</v>
      </c>
      <c r="D253" t="inlineStr">
        <is>
          <t>ÖSTERGÖTLANDS LÄN</t>
        </is>
      </c>
      <c r="E253" t="inlineStr">
        <is>
          <t>ÖDESHÖG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22282-2023</t>
        </is>
      </c>
      <c r="B254" s="1" t="n">
        <v>45070</v>
      </c>
      <c r="C254" s="1" t="n">
        <v>45706</v>
      </c>
      <c r="D254" t="inlineStr">
        <is>
          <t>ÖSTERGÖTLANDS LÄN</t>
        </is>
      </c>
      <c r="E254" t="inlineStr">
        <is>
          <t>ÖDESHÖG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24444-2023</t>
        </is>
      </c>
      <c r="B255" s="1" t="n">
        <v>45082</v>
      </c>
      <c r="C255" s="1" t="n">
        <v>45706</v>
      </c>
      <c r="D255" t="inlineStr">
        <is>
          <t>ÖSTERGÖTLANDS LÄN</t>
        </is>
      </c>
      <c r="E255" t="inlineStr">
        <is>
          <t>ÖDESHÖG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25729-2023</t>
        </is>
      </c>
      <c r="B256" s="1" t="n">
        <v>45084</v>
      </c>
      <c r="C256" s="1" t="n">
        <v>45706</v>
      </c>
      <c r="D256" t="inlineStr">
        <is>
          <t>ÖSTERGÖTLANDS LÄN</t>
        </is>
      </c>
      <c r="E256" t="inlineStr">
        <is>
          <t>ÖDESHÖG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26634-2023</t>
        </is>
      </c>
      <c r="B257" s="1" t="n">
        <v>45092</v>
      </c>
      <c r="C257" s="1" t="n">
        <v>45706</v>
      </c>
      <c r="D257" t="inlineStr">
        <is>
          <t>ÖSTERGÖTLANDS LÄN</t>
        </is>
      </c>
      <c r="E257" t="inlineStr">
        <is>
          <t>ÖDESHÖG</t>
        </is>
      </c>
      <c r="F257" t="inlineStr">
        <is>
          <t>Allmännings- och besparingsskogar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26949-2023</t>
        </is>
      </c>
      <c r="B258" s="1" t="n">
        <v>45093</v>
      </c>
      <c r="C258" s="1" t="n">
        <v>45706</v>
      </c>
      <c r="D258" t="inlineStr">
        <is>
          <t>ÖSTERGÖTLANDS LÄN</t>
        </is>
      </c>
      <c r="E258" t="inlineStr">
        <is>
          <t>ÖDESHÖG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27569-2023</t>
        </is>
      </c>
      <c r="B259" s="1" t="n">
        <v>45097</v>
      </c>
      <c r="C259" s="1" t="n">
        <v>45706</v>
      </c>
      <c r="D259" t="inlineStr">
        <is>
          <t>ÖSTERGÖTLANDS LÄN</t>
        </is>
      </c>
      <c r="E259" t="inlineStr">
        <is>
          <t>ÖDESHÖG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30964-2023</t>
        </is>
      </c>
      <c r="B260" s="1" t="n">
        <v>45113</v>
      </c>
      <c r="C260" s="1" t="n">
        <v>45706</v>
      </c>
      <c r="D260" t="inlineStr">
        <is>
          <t>ÖSTERGÖTLANDS LÄN</t>
        </is>
      </c>
      <c r="E260" t="inlineStr">
        <is>
          <t>ÖDESHÖG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30945-2023</t>
        </is>
      </c>
      <c r="B261" s="1" t="n">
        <v>45113</v>
      </c>
      <c r="C261" s="1" t="n">
        <v>45706</v>
      </c>
      <c r="D261" t="inlineStr">
        <is>
          <t>ÖSTERGÖTLANDS LÄN</t>
        </is>
      </c>
      <c r="E261" t="inlineStr">
        <is>
          <t>ÖDESHÖG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33856-2023</t>
        </is>
      </c>
      <c r="B262" s="1" t="n">
        <v>45133</v>
      </c>
      <c r="C262" s="1" t="n">
        <v>45706</v>
      </c>
      <c r="D262" t="inlineStr">
        <is>
          <t>ÖSTERGÖTLANDS LÄN</t>
        </is>
      </c>
      <c r="E262" t="inlineStr">
        <is>
          <t>ÖDESHÖG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35079-2023</t>
        </is>
      </c>
      <c r="B263" s="1" t="n">
        <v>45145</v>
      </c>
      <c r="C263" s="1" t="n">
        <v>45706</v>
      </c>
      <c r="D263" t="inlineStr">
        <is>
          <t>ÖSTERGÖTLANDS LÄN</t>
        </is>
      </c>
      <c r="E263" t="inlineStr">
        <is>
          <t>ÖDESHÖG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35097-2023</t>
        </is>
      </c>
      <c r="B264" s="1" t="n">
        <v>45145</v>
      </c>
      <c r="C264" s="1" t="n">
        <v>45706</v>
      </c>
      <c r="D264" t="inlineStr">
        <is>
          <t>ÖSTERGÖTLANDS LÄN</t>
        </is>
      </c>
      <c r="E264" t="inlineStr">
        <is>
          <t>ÖDESHÖG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35225-2023</t>
        </is>
      </c>
      <c r="B265" s="1" t="n">
        <v>45145</v>
      </c>
      <c r="C265" s="1" t="n">
        <v>45706</v>
      </c>
      <c r="D265" t="inlineStr">
        <is>
          <t>ÖSTERGÖTLANDS LÄN</t>
        </is>
      </c>
      <c r="E265" t="inlineStr">
        <is>
          <t>ÖDESHÖG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35229-2023</t>
        </is>
      </c>
      <c r="B266" s="1" t="n">
        <v>45145</v>
      </c>
      <c r="C266" s="1" t="n">
        <v>45706</v>
      </c>
      <c r="D266" t="inlineStr">
        <is>
          <t>ÖSTERGÖTLANDS LÄN</t>
        </is>
      </c>
      <c r="E266" t="inlineStr">
        <is>
          <t>ÖDESHÖG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35095-2023</t>
        </is>
      </c>
      <c r="B267" s="1" t="n">
        <v>45145</v>
      </c>
      <c r="C267" s="1" t="n">
        <v>45706</v>
      </c>
      <c r="D267" t="inlineStr">
        <is>
          <t>ÖSTERGÖTLANDS LÄN</t>
        </is>
      </c>
      <c r="E267" t="inlineStr">
        <is>
          <t>ÖDESHÖG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35124-2023</t>
        </is>
      </c>
      <c r="B268" s="1" t="n">
        <v>45145</v>
      </c>
      <c r="C268" s="1" t="n">
        <v>45706</v>
      </c>
      <c r="D268" t="inlineStr">
        <is>
          <t>ÖSTERGÖTLANDS LÄN</t>
        </is>
      </c>
      <c r="E268" t="inlineStr">
        <is>
          <t>ÖDESHÖG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35380-2023</t>
        </is>
      </c>
      <c r="B269" s="1" t="n">
        <v>45146</v>
      </c>
      <c r="C269" s="1" t="n">
        <v>45706</v>
      </c>
      <c r="D269" t="inlineStr">
        <is>
          <t>ÖSTERGÖTLANDS LÄN</t>
        </is>
      </c>
      <c r="E269" t="inlineStr">
        <is>
          <t>ÖDESHÖG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35411-2023</t>
        </is>
      </c>
      <c r="B270" s="1" t="n">
        <v>45146</v>
      </c>
      <c r="C270" s="1" t="n">
        <v>45706</v>
      </c>
      <c r="D270" t="inlineStr">
        <is>
          <t>ÖSTERGÖTLANDS LÄN</t>
        </is>
      </c>
      <c r="E270" t="inlineStr">
        <is>
          <t>ÖDESHÖG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36075-2023</t>
        </is>
      </c>
      <c r="B271" s="1" t="n">
        <v>45149</v>
      </c>
      <c r="C271" s="1" t="n">
        <v>45706</v>
      </c>
      <c r="D271" t="inlineStr">
        <is>
          <t>ÖSTERGÖTLANDS LÄN</t>
        </is>
      </c>
      <c r="E271" t="inlineStr">
        <is>
          <t>ÖDESHÖG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36730-2023</t>
        </is>
      </c>
      <c r="B272" s="1" t="n">
        <v>45153</v>
      </c>
      <c r="C272" s="1" t="n">
        <v>45706</v>
      </c>
      <c r="D272" t="inlineStr">
        <is>
          <t>ÖSTERGÖTLANDS LÄN</t>
        </is>
      </c>
      <c r="E272" t="inlineStr">
        <is>
          <t>ÖDESHÖG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36694-2023</t>
        </is>
      </c>
      <c r="B273" s="1" t="n">
        <v>45153</v>
      </c>
      <c r="C273" s="1" t="n">
        <v>45706</v>
      </c>
      <c r="D273" t="inlineStr">
        <is>
          <t>ÖSTERGÖTLANDS LÄN</t>
        </is>
      </c>
      <c r="E273" t="inlineStr">
        <is>
          <t>ÖDESHÖG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36728-2023</t>
        </is>
      </c>
      <c r="B274" s="1" t="n">
        <v>45153</v>
      </c>
      <c r="C274" s="1" t="n">
        <v>45706</v>
      </c>
      <c r="D274" t="inlineStr">
        <is>
          <t>ÖSTERGÖTLANDS LÄN</t>
        </is>
      </c>
      <c r="E274" t="inlineStr">
        <is>
          <t>ÖDESHÖG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37843-2023</t>
        </is>
      </c>
      <c r="B275" s="1" t="n">
        <v>45160</v>
      </c>
      <c r="C275" s="1" t="n">
        <v>45706</v>
      </c>
      <c r="D275" t="inlineStr">
        <is>
          <t>ÖSTERGÖTLANDS LÄN</t>
        </is>
      </c>
      <c r="E275" t="inlineStr">
        <is>
          <t>ÖDESHÖG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38154-2023</t>
        </is>
      </c>
      <c r="B276" s="1" t="n">
        <v>45161</v>
      </c>
      <c r="C276" s="1" t="n">
        <v>45706</v>
      </c>
      <c r="D276" t="inlineStr">
        <is>
          <t>ÖSTERGÖTLANDS LÄN</t>
        </is>
      </c>
      <c r="E276" t="inlineStr">
        <is>
          <t>ÖDESHÖG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38208-2023</t>
        </is>
      </c>
      <c r="B277" s="1" t="n">
        <v>45161</v>
      </c>
      <c r="C277" s="1" t="n">
        <v>45706</v>
      </c>
      <c r="D277" t="inlineStr">
        <is>
          <t>ÖSTERGÖTLANDS LÄN</t>
        </is>
      </c>
      <c r="E277" t="inlineStr">
        <is>
          <t>ÖDESHÖG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38212-2023</t>
        </is>
      </c>
      <c r="B278" s="1" t="n">
        <v>45161</v>
      </c>
      <c r="C278" s="1" t="n">
        <v>45706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38259-2023</t>
        </is>
      </c>
      <c r="B279" s="1" t="n">
        <v>45161</v>
      </c>
      <c r="C279" s="1" t="n">
        <v>45706</v>
      </c>
      <c r="D279" t="inlineStr">
        <is>
          <t>ÖSTERGÖTLANDS LÄN</t>
        </is>
      </c>
      <c r="E279" t="inlineStr">
        <is>
          <t>ÖDESHÖG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38152-2023</t>
        </is>
      </c>
      <c r="B280" s="1" t="n">
        <v>45161</v>
      </c>
      <c r="C280" s="1" t="n">
        <v>45706</v>
      </c>
      <c r="D280" t="inlineStr">
        <is>
          <t>ÖSTERGÖTLANDS LÄN</t>
        </is>
      </c>
      <c r="E280" t="inlineStr">
        <is>
          <t>ÖDESHÖG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38720-2023</t>
        </is>
      </c>
      <c r="B281" s="1" t="n">
        <v>45163</v>
      </c>
      <c r="C281" s="1" t="n">
        <v>45706</v>
      </c>
      <c r="D281" t="inlineStr">
        <is>
          <t>ÖSTERGÖTLANDS LÄN</t>
        </is>
      </c>
      <c r="E281" t="inlineStr">
        <is>
          <t>ÖDESHÖG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39023-2023</t>
        </is>
      </c>
      <c r="B282" s="1" t="n">
        <v>45163</v>
      </c>
      <c r="C282" s="1" t="n">
        <v>45706</v>
      </c>
      <c r="D282" t="inlineStr">
        <is>
          <t>ÖSTERGÖTLANDS LÄN</t>
        </is>
      </c>
      <c r="E282" t="inlineStr">
        <is>
          <t>ÖDESHÖG</t>
        </is>
      </c>
      <c r="F282" t="inlineStr">
        <is>
          <t>Allmännings- och besparingsskogar</t>
        </is>
      </c>
      <c r="G282" t="n">
        <v>14.7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39027-2023</t>
        </is>
      </c>
      <c r="B283" s="1" t="n">
        <v>45163</v>
      </c>
      <c r="C283" s="1" t="n">
        <v>45706</v>
      </c>
      <c r="D283" t="inlineStr">
        <is>
          <t>ÖSTERGÖTLANDS LÄN</t>
        </is>
      </c>
      <c r="E283" t="inlineStr">
        <is>
          <t>ÖDESHÖG</t>
        </is>
      </c>
      <c r="F283" t="inlineStr">
        <is>
          <t>Allmännings- och besparingsskogar</t>
        </is>
      </c>
      <c r="G283" t="n">
        <v>2.9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38718-2023</t>
        </is>
      </c>
      <c r="B284" s="1" t="n">
        <v>45163</v>
      </c>
      <c r="C284" s="1" t="n">
        <v>45706</v>
      </c>
      <c r="D284" t="inlineStr">
        <is>
          <t>ÖSTERGÖTLANDS LÄN</t>
        </is>
      </c>
      <c r="E284" t="inlineStr">
        <is>
          <t>ÖDESHÖG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38716-2023</t>
        </is>
      </c>
      <c r="B285" s="1" t="n">
        <v>45163</v>
      </c>
      <c r="C285" s="1" t="n">
        <v>45706</v>
      </c>
      <c r="D285" t="inlineStr">
        <is>
          <t>ÖSTERGÖTLANDS LÄN</t>
        </is>
      </c>
      <c r="E285" t="inlineStr">
        <is>
          <t>ÖDESHÖG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38726-2023</t>
        </is>
      </c>
      <c r="B286" s="1" t="n">
        <v>45163</v>
      </c>
      <c r="C286" s="1" t="n">
        <v>45706</v>
      </c>
      <c r="D286" t="inlineStr">
        <is>
          <t>ÖSTERGÖTLANDS LÄN</t>
        </is>
      </c>
      <c r="E286" t="inlineStr">
        <is>
          <t>ÖDESHÖG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39024-2023</t>
        </is>
      </c>
      <c r="B287" s="1" t="n">
        <v>45163</v>
      </c>
      <c r="C287" s="1" t="n">
        <v>45706</v>
      </c>
      <c r="D287" t="inlineStr">
        <is>
          <t>ÖSTERGÖTLANDS LÄN</t>
        </is>
      </c>
      <c r="E287" t="inlineStr">
        <is>
          <t>ÖDESHÖG</t>
        </is>
      </c>
      <c r="F287" t="inlineStr">
        <is>
          <t>Allmännings- och besparingsskogar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39032-2023</t>
        </is>
      </c>
      <c r="B288" s="1" t="n">
        <v>45163</v>
      </c>
      <c r="C288" s="1" t="n">
        <v>45706</v>
      </c>
      <c r="D288" t="inlineStr">
        <is>
          <t>ÖSTERGÖTLANDS LÄN</t>
        </is>
      </c>
      <c r="E288" t="inlineStr">
        <is>
          <t>ÖDESHÖG</t>
        </is>
      </c>
      <c r="F288" t="inlineStr">
        <is>
          <t>Allmännings- och besparingsskogar</t>
        </is>
      </c>
      <c r="G288" t="n">
        <v>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38723-2023</t>
        </is>
      </c>
      <c r="B289" s="1" t="n">
        <v>45163</v>
      </c>
      <c r="C289" s="1" t="n">
        <v>45706</v>
      </c>
      <c r="D289" t="inlineStr">
        <is>
          <t>ÖSTERGÖTLANDS LÄN</t>
        </is>
      </c>
      <c r="E289" t="inlineStr">
        <is>
          <t>ÖDESHÖG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39190-2023</t>
        </is>
      </c>
      <c r="B290" s="1" t="n">
        <v>45166</v>
      </c>
      <c r="C290" s="1" t="n">
        <v>45706</v>
      </c>
      <c r="D290" t="inlineStr">
        <is>
          <t>ÖSTERGÖTLANDS LÄN</t>
        </is>
      </c>
      <c r="E290" t="inlineStr">
        <is>
          <t>ÖDESHÖG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40689-2023</t>
        </is>
      </c>
      <c r="B291" s="1" t="n">
        <v>45170</v>
      </c>
      <c r="C291" s="1" t="n">
        <v>45706</v>
      </c>
      <c r="D291" t="inlineStr">
        <is>
          <t>ÖSTERGÖTLANDS LÄN</t>
        </is>
      </c>
      <c r="E291" t="inlineStr">
        <is>
          <t>ÖDESHÖG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43265-2023</t>
        </is>
      </c>
      <c r="B292" s="1" t="n">
        <v>45183</v>
      </c>
      <c r="C292" s="1" t="n">
        <v>45706</v>
      </c>
      <c r="D292" t="inlineStr">
        <is>
          <t>ÖSTERGÖTLANDS LÄN</t>
        </is>
      </c>
      <c r="E292" t="inlineStr">
        <is>
          <t>ÖDESHÖG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43263-2023</t>
        </is>
      </c>
      <c r="B293" s="1" t="n">
        <v>45183</v>
      </c>
      <c r="C293" s="1" t="n">
        <v>45706</v>
      </c>
      <c r="D293" t="inlineStr">
        <is>
          <t>ÖSTERGÖTLANDS LÄN</t>
        </is>
      </c>
      <c r="E293" t="inlineStr">
        <is>
          <t>ÖDESHÖG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43521-2023</t>
        </is>
      </c>
      <c r="B294" s="1" t="n">
        <v>45184</v>
      </c>
      <c r="C294" s="1" t="n">
        <v>45706</v>
      </c>
      <c r="D294" t="inlineStr">
        <is>
          <t>ÖSTERGÖTLANDS LÄN</t>
        </is>
      </c>
      <c r="E294" t="inlineStr">
        <is>
          <t>ÖDESHÖG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45084-2023</t>
        </is>
      </c>
      <c r="B295" s="1" t="n">
        <v>45187</v>
      </c>
      <c r="C295" s="1" t="n">
        <v>45706</v>
      </c>
      <c r="D295" t="inlineStr">
        <is>
          <t>ÖSTERGÖTLANDS LÄN</t>
        </is>
      </c>
      <c r="E295" t="inlineStr">
        <is>
          <t>ÖDESHÖG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44069-2023</t>
        </is>
      </c>
      <c r="B296" s="1" t="n">
        <v>45188</v>
      </c>
      <c r="C296" s="1" t="n">
        <v>45706</v>
      </c>
      <c r="D296" t="inlineStr">
        <is>
          <t>ÖSTERGÖTLANDS LÄN</t>
        </is>
      </c>
      <c r="E296" t="inlineStr">
        <is>
          <t>ÖDESHÖG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45594-2023</t>
        </is>
      </c>
      <c r="B297" s="1" t="n">
        <v>45194</v>
      </c>
      <c r="C297" s="1" t="n">
        <v>45706</v>
      </c>
      <c r="D297" t="inlineStr">
        <is>
          <t>ÖSTERGÖTLANDS LÄN</t>
        </is>
      </c>
      <c r="E297" t="inlineStr">
        <is>
          <t>ÖDESHÖG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45654-2023</t>
        </is>
      </c>
      <c r="B298" s="1" t="n">
        <v>45194</v>
      </c>
      <c r="C298" s="1" t="n">
        <v>45706</v>
      </c>
      <c r="D298" t="inlineStr">
        <is>
          <t>ÖSTERGÖTLANDS LÄN</t>
        </is>
      </c>
      <c r="E298" t="inlineStr">
        <is>
          <t>ÖDESHÖG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45612-2023</t>
        </is>
      </c>
      <c r="B299" s="1" t="n">
        <v>45194</v>
      </c>
      <c r="C299" s="1" t="n">
        <v>45706</v>
      </c>
      <c r="D299" t="inlineStr">
        <is>
          <t>ÖSTERGÖTLANDS LÄN</t>
        </is>
      </c>
      <c r="E299" t="inlineStr">
        <is>
          <t>ÖDESHÖG</t>
        </is>
      </c>
      <c r="G299" t="n">
        <v>4.7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45651-2023</t>
        </is>
      </c>
      <c r="B300" s="1" t="n">
        <v>45194</v>
      </c>
      <c r="C300" s="1" t="n">
        <v>45706</v>
      </c>
      <c r="D300" t="inlineStr">
        <is>
          <t>ÖSTERGÖTLANDS LÄN</t>
        </is>
      </c>
      <c r="E300" t="inlineStr">
        <is>
          <t>ÖDESHÖG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45753-2023</t>
        </is>
      </c>
      <c r="B301" s="1" t="n">
        <v>45195</v>
      </c>
      <c r="C301" s="1" t="n">
        <v>45706</v>
      </c>
      <c r="D301" t="inlineStr">
        <is>
          <t>ÖSTERGÖTLANDS LÄN</t>
        </is>
      </c>
      <c r="E301" t="inlineStr">
        <is>
          <t>ÖDESHÖG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46936-2023</t>
        </is>
      </c>
      <c r="B302" s="1" t="n">
        <v>45201</v>
      </c>
      <c r="C302" s="1" t="n">
        <v>45706</v>
      </c>
      <c r="D302" t="inlineStr">
        <is>
          <t>ÖSTERGÖTLANDS LÄN</t>
        </is>
      </c>
      <c r="E302" t="inlineStr">
        <is>
          <t>ÖDESHÖG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47600-2023</t>
        </is>
      </c>
      <c r="B303" s="1" t="n">
        <v>45203</v>
      </c>
      <c r="C303" s="1" t="n">
        <v>45706</v>
      </c>
      <c r="D303" t="inlineStr">
        <is>
          <t>ÖSTERGÖTLANDS LÄN</t>
        </is>
      </c>
      <c r="E303" t="inlineStr">
        <is>
          <t>ÖDESHÖG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47597-2023</t>
        </is>
      </c>
      <c r="B304" s="1" t="n">
        <v>45203</v>
      </c>
      <c r="C304" s="1" t="n">
        <v>45706</v>
      </c>
      <c r="D304" t="inlineStr">
        <is>
          <t>ÖSTERGÖTLANDS LÄN</t>
        </is>
      </c>
      <c r="E304" t="inlineStr">
        <is>
          <t>ÖDESHÖG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48101-2023</t>
        </is>
      </c>
      <c r="B305" s="1" t="n">
        <v>45205</v>
      </c>
      <c r="C305" s="1" t="n">
        <v>45706</v>
      </c>
      <c r="D305" t="inlineStr">
        <is>
          <t>ÖSTERGÖTLANDS LÄN</t>
        </is>
      </c>
      <c r="E305" t="inlineStr">
        <is>
          <t>ÖDESHÖG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48105-2023</t>
        </is>
      </c>
      <c r="B306" s="1" t="n">
        <v>45205</v>
      </c>
      <c r="C306" s="1" t="n">
        <v>45706</v>
      </c>
      <c r="D306" t="inlineStr">
        <is>
          <t>ÖSTERGÖTLANDS LÄN</t>
        </is>
      </c>
      <c r="E306" t="inlineStr">
        <is>
          <t>ÖDESHÖG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48107-2023</t>
        </is>
      </c>
      <c r="B307" s="1" t="n">
        <v>45205</v>
      </c>
      <c r="C307" s="1" t="n">
        <v>45706</v>
      </c>
      <c r="D307" t="inlineStr">
        <is>
          <t>ÖSTERGÖTLANDS LÄN</t>
        </is>
      </c>
      <c r="E307" t="inlineStr">
        <is>
          <t>ÖDESHÖG</t>
        </is>
      </c>
      <c r="G307" t="n">
        <v>2.4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50774-2023</t>
        </is>
      </c>
      <c r="B308" s="1" t="n">
        <v>45210</v>
      </c>
      <c r="C308" s="1" t="n">
        <v>45706</v>
      </c>
      <c r="D308" t="inlineStr">
        <is>
          <t>ÖSTERGÖTLANDS LÄN</t>
        </is>
      </c>
      <c r="E308" t="inlineStr">
        <is>
          <t>ÖDESHÖG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50771-2023</t>
        </is>
      </c>
      <c r="B309" s="1" t="n">
        <v>45210</v>
      </c>
      <c r="C309" s="1" t="n">
        <v>45706</v>
      </c>
      <c r="D309" t="inlineStr">
        <is>
          <t>ÖSTERGÖTLANDS LÄN</t>
        </is>
      </c>
      <c r="E309" t="inlineStr">
        <is>
          <t>ÖDESHÖG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50818-2023</t>
        </is>
      </c>
      <c r="B310" s="1" t="n">
        <v>45217</v>
      </c>
      <c r="C310" s="1" t="n">
        <v>45706</v>
      </c>
      <c r="D310" t="inlineStr">
        <is>
          <t>ÖSTERGÖTLANDS LÄN</t>
        </is>
      </c>
      <c r="E310" t="inlineStr">
        <is>
          <t>ÖDESHÖG</t>
        </is>
      </c>
      <c r="G310" t="n">
        <v>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52469-2023</t>
        </is>
      </c>
      <c r="B311" s="1" t="n">
        <v>45225</v>
      </c>
      <c r="C311" s="1" t="n">
        <v>45706</v>
      </c>
      <c r="D311" t="inlineStr">
        <is>
          <t>ÖSTERGÖTLANDS LÄN</t>
        </is>
      </c>
      <c r="E311" t="inlineStr">
        <is>
          <t>ÖDESHÖG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55366-2023</t>
        </is>
      </c>
      <c r="B312" s="1" t="n">
        <v>45238</v>
      </c>
      <c r="C312" s="1" t="n">
        <v>45706</v>
      </c>
      <c r="D312" t="inlineStr">
        <is>
          <t>ÖSTERGÖTLANDS LÄN</t>
        </is>
      </c>
      <c r="E312" t="inlineStr">
        <is>
          <t>ÖDESHÖG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55971-2023</t>
        </is>
      </c>
      <c r="B313" s="1" t="n">
        <v>45240</v>
      </c>
      <c r="C313" s="1" t="n">
        <v>45706</v>
      </c>
      <c r="D313" t="inlineStr">
        <is>
          <t>ÖSTERGÖTLANDS LÄN</t>
        </is>
      </c>
      <c r="E313" t="inlineStr">
        <is>
          <t>ÖDESHÖG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56721-2023</t>
        </is>
      </c>
      <c r="B314" s="1" t="n">
        <v>45244</v>
      </c>
      <c r="C314" s="1" t="n">
        <v>45706</v>
      </c>
      <c r="D314" t="inlineStr">
        <is>
          <t>ÖSTERGÖTLANDS LÄN</t>
        </is>
      </c>
      <c r="E314" t="inlineStr">
        <is>
          <t>ÖDESHÖG</t>
        </is>
      </c>
      <c r="G314" t="n">
        <v>8.800000000000001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56731-2023</t>
        </is>
      </c>
      <c r="B315" s="1" t="n">
        <v>45244</v>
      </c>
      <c r="C315" s="1" t="n">
        <v>45706</v>
      </c>
      <c r="D315" t="inlineStr">
        <is>
          <t>ÖSTERGÖTLANDS LÄN</t>
        </is>
      </c>
      <c r="E315" t="inlineStr">
        <is>
          <t>ÖDESHÖG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56797-2023</t>
        </is>
      </c>
      <c r="B316" s="1" t="n">
        <v>45244</v>
      </c>
      <c r="C316" s="1" t="n">
        <v>45706</v>
      </c>
      <c r="D316" t="inlineStr">
        <is>
          <t>ÖSTERGÖTLANDS LÄN</t>
        </is>
      </c>
      <c r="E316" t="inlineStr">
        <is>
          <t>ÖDESHÖG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56828-2023</t>
        </is>
      </c>
      <c r="B317" s="1" t="n">
        <v>45244</v>
      </c>
      <c r="C317" s="1" t="n">
        <v>45706</v>
      </c>
      <c r="D317" t="inlineStr">
        <is>
          <t>ÖSTERGÖTLANDS LÄN</t>
        </is>
      </c>
      <c r="E317" t="inlineStr">
        <is>
          <t>ÖDESHÖG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57722-2023</t>
        </is>
      </c>
      <c r="B318" s="1" t="n">
        <v>45246</v>
      </c>
      <c r="C318" s="1" t="n">
        <v>45706</v>
      </c>
      <c r="D318" t="inlineStr">
        <is>
          <t>ÖSTERGÖTLANDS LÄN</t>
        </is>
      </c>
      <c r="E318" t="inlineStr">
        <is>
          <t>ÖDESHÖG</t>
        </is>
      </c>
      <c r="F318" t="inlineStr">
        <is>
          <t>Kommuner</t>
        </is>
      </c>
      <c r="G318" t="n">
        <v>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57707-2023</t>
        </is>
      </c>
      <c r="B319" s="1" t="n">
        <v>45246</v>
      </c>
      <c r="C319" s="1" t="n">
        <v>45706</v>
      </c>
      <c r="D319" t="inlineStr">
        <is>
          <t>ÖSTERGÖTLANDS LÄN</t>
        </is>
      </c>
      <c r="E319" t="inlineStr">
        <is>
          <t>ÖDESHÖG</t>
        </is>
      </c>
      <c r="G319" t="n">
        <v>5.2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58551-2023</t>
        </is>
      </c>
      <c r="B320" s="1" t="n">
        <v>45251</v>
      </c>
      <c r="C320" s="1" t="n">
        <v>45706</v>
      </c>
      <c r="D320" t="inlineStr">
        <is>
          <t>ÖSTERGÖTLANDS LÄN</t>
        </is>
      </c>
      <c r="E320" t="inlineStr">
        <is>
          <t>ÖDESHÖG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62723-2023</t>
        </is>
      </c>
      <c r="B321" s="1" t="n">
        <v>45271</v>
      </c>
      <c r="C321" s="1" t="n">
        <v>45706</v>
      </c>
      <c r="D321" t="inlineStr">
        <is>
          <t>ÖSTERGÖTLANDS LÄN</t>
        </is>
      </c>
      <c r="E321" t="inlineStr">
        <is>
          <t>ÖDESHÖG</t>
        </is>
      </c>
      <c r="F321" t="inlineStr">
        <is>
          <t>Allmännings- och besparingsskogar</t>
        </is>
      </c>
      <c r="G321" t="n">
        <v>10.2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62988-2023</t>
        </is>
      </c>
      <c r="B322" s="1" t="n">
        <v>45272</v>
      </c>
      <c r="C322" s="1" t="n">
        <v>45706</v>
      </c>
      <c r="D322" t="inlineStr">
        <is>
          <t>ÖSTERGÖTLANDS LÄN</t>
        </is>
      </c>
      <c r="E322" t="inlineStr">
        <is>
          <t>ÖDESHÖG</t>
        </is>
      </c>
      <c r="F322" t="inlineStr">
        <is>
          <t>Allmännings- och besparingsskogar</t>
        </is>
      </c>
      <c r="G322" t="n">
        <v>19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63943-2023</t>
        </is>
      </c>
      <c r="B323" s="1" t="n">
        <v>45278</v>
      </c>
      <c r="C323" s="1" t="n">
        <v>45706</v>
      </c>
      <c r="D323" t="inlineStr">
        <is>
          <t>ÖSTERGÖTLANDS LÄN</t>
        </is>
      </c>
      <c r="E323" t="inlineStr">
        <is>
          <t>ÖDESHÖG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63936-2023</t>
        </is>
      </c>
      <c r="B324" s="1" t="n">
        <v>45278</v>
      </c>
      <c r="C324" s="1" t="n">
        <v>45706</v>
      </c>
      <c r="D324" t="inlineStr">
        <is>
          <t>ÖSTERGÖTLANDS LÄN</t>
        </is>
      </c>
      <c r="E324" t="inlineStr">
        <is>
          <t>ÖDESHÖG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64388-2023</t>
        </is>
      </c>
      <c r="B325" s="1" t="n">
        <v>45280</v>
      </c>
      <c r="C325" s="1" t="n">
        <v>45706</v>
      </c>
      <c r="D325" t="inlineStr">
        <is>
          <t>ÖSTERGÖTLANDS LÄN</t>
        </is>
      </c>
      <c r="E325" t="inlineStr">
        <is>
          <t>ÖDESHÖG</t>
        </is>
      </c>
      <c r="G325" t="n">
        <v>6.1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64442-2023</t>
        </is>
      </c>
      <c r="B326" s="1" t="n">
        <v>45280</v>
      </c>
      <c r="C326" s="1" t="n">
        <v>45706</v>
      </c>
      <c r="D326" t="inlineStr">
        <is>
          <t>ÖSTERGÖTLANDS LÄN</t>
        </is>
      </c>
      <c r="E326" t="inlineStr">
        <is>
          <t>ÖDESHÖG</t>
        </is>
      </c>
      <c r="G326" t="n">
        <v>5.4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64405-2023</t>
        </is>
      </c>
      <c r="B327" s="1" t="n">
        <v>45280</v>
      </c>
      <c r="C327" s="1" t="n">
        <v>45706</v>
      </c>
      <c r="D327" t="inlineStr">
        <is>
          <t>ÖSTERGÖTLANDS LÄN</t>
        </is>
      </c>
      <c r="E327" t="inlineStr">
        <is>
          <t>ÖDESHÖG</t>
        </is>
      </c>
      <c r="G327" t="n">
        <v>5.9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64710-2023</t>
        </is>
      </c>
      <c r="B328" s="1" t="n">
        <v>45281</v>
      </c>
      <c r="C328" s="1" t="n">
        <v>45706</v>
      </c>
      <c r="D328" t="inlineStr">
        <is>
          <t>ÖSTERGÖTLANDS LÄN</t>
        </is>
      </c>
      <c r="E328" t="inlineStr">
        <is>
          <t>ÖDESHÖG</t>
        </is>
      </c>
      <c r="G328" t="n">
        <v>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64709-2023</t>
        </is>
      </c>
      <c r="B329" s="1" t="n">
        <v>45281</v>
      </c>
      <c r="C329" s="1" t="n">
        <v>45706</v>
      </c>
      <c r="D329" t="inlineStr">
        <is>
          <t>ÖSTERGÖTLANDS LÄN</t>
        </is>
      </c>
      <c r="E329" t="inlineStr">
        <is>
          <t>ÖDESHÖG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2076-2024</t>
        </is>
      </c>
      <c r="B330" s="1" t="n">
        <v>45309</v>
      </c>
      <c r="C330" s="1" t="n">
        <v>45706</v>
      </c>
      <c r="D330" t="inlineStr">
        <is>
          <t>ÖSTERGÖTLANDS LÄN</t>
        </is>
      </c>
      <c r="E330" t="inlineStr">
        <is>
          <t>ÖDESHÖG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2512-2024</t>
        </is>
      </c>
      <c r="B331" s="1" t="n">
        <v>45313</v>
      </c>
      <c r="C331" s="1" t="n">
        <v>45706</v>
      </c>
      <c r="D331" t="inlineStr">
        <is>
          <t>ÖSTERGÖTLANDS LÄN</t>
        </is>
      </c>
      <c r="E331" t="inlineStr">
        <is>
          <t>ÖDESHÖG</t>
        </is>
      </c>
      <c r="G331" t="n">
        <v>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3149-2024</t>
        </is>
      </c>
      <c r="B332" s="1" t="n">
        <v>45316</v>
      </c>
      <c r="C332" s="1" t="n">
        <v>45706</v>
      </c>
      <c r="D332" t="inlineStr">
        <is>
          <t>ÖSTERGÖTLANDS LÄN</t>
        </is>
      </c>
      <c r="E332" t="inlineStr">
        <is>
          <t>ÖDESHÖG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3198-2024</t>
        </is>
      </c>
      <c r="B333" s="1" t="n">
        <v>45316</v>
      </c>
      <c r="C333" s="1" t="n">
        <v>45706</v>
      </c>
      <c r="D333" t="inlineStr">
        <is>
          <t>ÖSTERGÖTLANDS LÄN</t>
        </is>
      </c>
      <c r="E333" t="inlineStr">
        <is>
          <t>ÖDESHÖG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3415-2024</t>
        </is>
      </c>
      <c r="B334" s="1" t="n">
        <v>45319</v>
      </c>
      <c r="C334" s="1" t="n">
        <v>45706</v>
      </c>
      <c r="D334" t="inlineStr">
        <is>
          <t>ÖSTERGÖTLANDS LÄN</t>
        </is>
      </c>
      <c r="E334" t="inlineStr">
        <is>
          <t>ÖDESHÖG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3496-2024</t>
        </is>
      </c>
      <c r="B335" s="1" t="n">
        <v>45320</v>
      </c>
      <c r="C335" s="1" t="n">
        <v>45706</v>
      </c>
      <c r="D335" t="inlineStr">
        <is>
          <t>ÖSTERGÖTLANDS LÄN</t>
        </is>
      </c>
      <c r="E335" t="inlineStr">
        <is>
          <t>ÖDESHÖG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4640-2024</t>
        </is>
      </c>
      <c r="B336" s="1" t="n">
        <v>45328</v>
      </c>
      <c r="C336" s="1" t="n">
        <v>45706</v>
      </c>
      <c r="D336" t="inlineStr">
        <is>
          <t>ÖSTERGÖTLANDS LÄN</t>
        </is>
      </c>
      <c r="E336" t="inlineStr">
        <is>
          <t>ÖDESHÖG</t>
        </is>
      </c>
      <c r="G336" t="n">
        <v>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4674-2024</t>
        </is>
      </c>
      <c r="B337" s="1" t="n">
        <v>45328</v>
      </c>
      <c r="C337" s="1" t="n">
        <v>45706</v>
      </c>
      <c r="D337" t="inlineStr">
        <is>
          <t>ÖSTERGÖTLANDS LÄN</t>
        </is>
      </c>
      <c r="E337" t="inlineStr">
        <is>
          <t>ÖDESHÖG</t>
        </is>
      </c>
      <c r="G337" t="n">
        <v>5.7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4678-2024</t>
        </is>
      </c>
      <c r="B338" s="1" t="n">
        <v>45328</v>
      </c>
      <c r="C338" s="1" t="n">
        <v>45706</v>
      </c>
      <c r="D338" t="inlineStr">
        <is>
          <t>ÖSTERGÖTLANDS LÄN</t>
        </is>
      </c>
      <c r="E338" t="inlineStr">
        <is>
          <t>ÖDESHÖG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4638-2024</t>
        </is>
      </c>
      <c r="B339" s="1" t="n">
        <v>45328</v>
      </c>
      <c r="C339" s="1" t="n">
        <v>45706</v>
      </c>
      <c r="D339" t="inlineStr">
        <is>
          <t>ÖSTERGÖTLANDS LÄN</t>
        </is>
      </c>
      <c r="E339" t="inlineStr">
        <is>
          <t>ÖDESHÖG</t>
        </is>
      </c>
      <c r="F339" t="inlineStr">
        <is>
          <t>Allmännings- och besparingsskogar</t>
        </is>
      </c>
      <c r="G339" t="n">
        <v>9.1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5187-2024</t>
        </is>
      </c>
      <c r="B340" s="1" t="n">
        <v>45330</v>
      </c>
      <c r="C340" s="1" t="n">
        <v>45706</v>
      </c>
      <c r="D340" t="inlineStr">
        <is>
          <t>ÖSTERGÖTLANDS LÄN</t>
        </is>
      </c>
      <c r="E340" t="inlineStr">
        <is>
          <t>ÖDESHÖG</t>
        </is>
      </c>
      <c r="G340" t="n">
        <v>3.4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5283-2024</t>
        </is>
      </c>
      <c r="B341" s="1" t="n">
        <v>45331</v>
      </c>
      <c r="C341" s="1" t="n">
        <v>45706</v>
      </c>
      <c r="D341" t="inlineStr">
        <is>
          <t>ÖSTERGÖTLANDS LÄN</t>
        </is>
      </c>
      <c r="E341" t="inlineStr">
        <is>
          <t>ÖDESHÖG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5288-2024</t>
        </is>
      </c>
      <c r="B342" s="1" t="n">
        <v>45331</v>
      </c>
      <c r="C342" s="1" t="n">
        <v>45706</v>
      </c>
      <c r="D342" t="inlineStr">
        <is>
          <t>ÖSTERGÖTLANDS LÄN</t>
        </is>
      </c>
      <c r="E342" t="inlineStr">
        <is>
          <t>ÖDESHÖG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5286-2024</t>
        </is>
      </c>
      <c r="B343" s="1" t="n">
        <v>45331</v>
      </c>
      <c r="C343" s="1" t="n">
        <v>45706</v>
      </c>
      <c r="D343" t="inlineStr">
        <is>
          <t>ÖSTERGÖTLANDS LÄN</t>
        </is>
      </c>
      <c r="E343" t="inlineStr">
        <is>
          <t>ÖDESHÖG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5819-2024</t>
        </is>
      </c>
      <c r="B344" s="1" t="n">
        <v>45335</v>
      </c>
      <c r="C344" s="1" t="n">
        <v>45706</v>
      </c>
      <c r="D344" t="inlineStr">
        <is>
          <t>ÖSTERGÖTLANDS LÄN</t>
        </is>
      </c>
      <c r="E344" t="inlineStr">
        <is>
          <t>ÖDESHÖG</t>
        </is>
      </c>
      <c r="F344" t="inlineStr">
        <is>
          <t>Allmännings- och besparingsskogar</t>
        </is>
      </c>
      <c r="G344" t="n">
        <v>2.2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5878-2024</t>
        </is>
      </c>
      <c r="B345" s="1" t="n">
        <v>45335</v>
      </c>
      <c r="C345" s="1" t="n">
        <v>45706</v>
      </c>
      <c r="D345" t="inlineStr">
        <is>
          <t>ÖSTERGÖTLANDS LÄN</t>
        </is>
      </c>
      <c r="E345" t="inlineStr">
        <is>
          <t>ÖDESHÖG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6164-2024</t>
        </is>
      </c>
      <c r="B346" s="1" t="n">
        <v>45337</v>
      </c>
      <c r="C346" s="1" t="n">
        <v>45706</v>
      </c>
      <c r="D346" t="inlineStr">
        <is>
          <t>ÖSTERGÖTLANDS LÄN</t>
        </is>
      </c>
      <c r="E346" t="inlineStr">
        <is>
          <t>ÖDESHÖG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6196-2024</t>
        </is>
      </c>
      <c r="B347" s="1" t="n">
        <v>45337</v>
      </c>
      <c r="C347" s="1" t="n">
        <v>45706</v>
      </c>
      <c r="D347" t="inlineStr">
        <is>
          <t>ÖSTERGÖTLANDS LÄN</t>
        </is>
      </c>
      <c r="E347" t="inlineStr">
        <is>
          <t>ÖDESHÖG</t>
        </is>
      </c>
      <c r="G347" t="n">
        <v>4.7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6705-2024</t>
        </is>
      </c>
      <c r="B348" s="1" t="n">
        <v>45342</v>
      </c>
      <c r="C348" s="1" t="n">
        <v>45706</v>
      </c>
      <c r="D348" t="inlineStr">
        <is>
          <t>ÖSTERGÖTLANDS LÄN</t>
        </is>
      </c>
      <c r="E348" t="inlineStr">
        <is>
          <t>ÖDESHÖG</t>
        </is>
      </c>
      <c r="F348" t="inlineStr">
        <is>
          <t>Allmännings- och besparingsskogar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7162-2024</t>
        </is>
      </c>
      <c r="B349" s="1" t="n">
        <v>45344</v>
      </c>
      <c r="C349" s="1" t="n">
        <v>45706</v>
      </c>
      <c r="D349" t="inlineStr">
        <is>
          <t>ÖSTERGÖTLANDS LÄN</t>
        </is>
      </c>
      <c r="E349" t="inlineStr">
        <is>
          <t>ÖDESHÖG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7336-2024</t>
        </is>
      </c>
      <c r="B350" s="1" t="n">
        <v>45345</v>
      </c>
      <c r="C350" s="1" t="n">
        <v>45706</v>
      </c>
      <c r="D350" t="inlineStr">
        <is>
          <t>ÖSTERGÖTLANDS LÄN</t>
        </is>
      </c>
      <c r="E350" t="inlineStr">
        <is>
          <t>ÖDESHÖG</t>
        </is>
      </c>
      <c r="G350" t="n">
        <v>2.3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8577-2024</t>
        </is>
      </c>
      <c r="B351" s="1" t="n">
        <v>45355</v>
      </c>
      <c r="C351" s="1" t="n">
        <v>45706</v>
      </c>
      <c r="D351" t="inlineStr">
        <is>
          <t>ÖSTERGÖTLANDS LÄN</t>
        </is>
      </c>
      <c r="E351" t="inlineStr">
        <is>
          <t>ÖDESHÖG</t>
        </is>
      </c>
      <c r="G351" t="n">
        <v>3.4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10931-2024</t>
        </is>
      </c>
      <c r="B352" s="1" t="n">
        <v>45370</v>
      </c>
      <c r="C352" s="1" t="n">
        <v>45706</v>
      </c>
      <c r="D352" t="inlineStr">
        <is>
          <t>ÖSTERGÖTLANDS LÄN</t>
        </is>
      </c>
      <c r="E352" t="inlineStr">
        <is>
          <t>ÖDESHÖG</t>
        </is>
      </c>
      <c r="G352" t="n">
        <v>6.1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10972-2024</t>
        </is>
      </c>
      <c r="B353" s="1" t="n">
        <v>45370</v>
      </c>
      <c r="C353" s="1" t="n">
        <v>45706</v>
      </c>
      <c r="D353" t="inlineStr">
        <is>
          <t>ÖSTERGÖTLANDS LÄN</t>
        </is>
      </c>
      <c r="E353" t="inlineStr">
        <is>
          <t>ÖDESHÖG</t>
        </is>
      </c>
      <c r="G353" t="n">
        <v>8.5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11704-2024</t>
        </is>
      </c>
      <c r="B354" s="1" t="n">
        <v>45373</v>
      </c>
      <c r="C354" s="1" t="n">
        <v>45706</v>
      </c>
      <c r="D354" t="inlineStr">
        <is>
          <t>ÖSTERGÖTLANDS LÄN</t>
        </is>
      </c>
      <c r="E354" t="inlineStr">
        <is>
          <t>ÖDESHÖG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11699-2024</t>
        </is>
      </c>
      <c r="B355" s="1" t="n">
        <v>45373</v>
      </c>
      <c r="C355" s="1" t="n">
        <v>45706</v>
      </c>
      <c r="D355" t="inlineStr">
        <is>
          <t>ÖSTERGÖTLANDS LÄN</t>
        </is>
      </c>
      <c r="E355" t="inlineStr">
        <is>
          <t>ÖDESHÖG</t>
        </is>
      </c>
      <c r="G355" t="n">
        <v>2.4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12541-2024</t>
        </is>
      </c>
      <c r="B356" s="1" t="n">
        <v>45379</v>
      </c>
      <c r="C356" s="1" t="n">
        <v>45706</v>
      </c>
      <c r="D356" t="inlineStr">
        <is>
          <t>ÖSTERGÖTLANDS LÄN</t>
        </is>
      </c>
      <c r="E356" t="inlineStr">
        <is>
          <t>ÖDESHÖG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14736-2024</t>
        </is>
      </c>
      <c r="B357" s="1" t="n">
        <v>45397</v>
      </c>
      <c r="C357" s="1" t="n">
        <v>45706</v>
      </c>
      <c r="D357" t="inlineStr">
        <is>
          <t>ÖSTERGÖTLANDS LÄN</t>
        </is>
      </c>
      <c r="E357" t="inlineStr">
        <is>
          <t>ÖDESHÖG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15915-2024</t>
        </is>
      </c>
      <c r="B358" s="1" t="n">
        <v>45405</v>
      </c>
      <c r="C358" s="1" t="n">
        <v>45706</v>
      </c>
      <c r="D358" t="inlineStr">
        <is>
          <t>ÖSTERGÖTLANDS LÄN</t>
        </is>
      </c>
      <c r="E358" t="inlineStr">
        <is>
          <t>ÖDESHÖG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15907-2024</t>
        </is>
      </c>
      <c r="B359" s="1" t="n">
        <v>45405</v>
      </c>
      <c r="C359" s="1" t="n">
        <v>45706</v>
      </c>
      <c r="D359" t="inlineStr">
        <is>
          <t>ÖSTERGÖTLANDS LÄN</t>
        </is>
      </c>
      <c r="E359" t="inlineStr">
        <is>
          <t>ÖDESHÖG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15909-2024</t>
        </is>
      </c>
      <c r="B360" s="1" t="n">
        <v>45405</v>
      </c>
      <c r="C360" s="1" t="n">
        <v>45706</v>
      </c>
      <c r="D360" t="inlineStr">
        <is>
          <t>ÖSTERGÖTLANDS LÄN</t>
        </is>
      </c>
      <c r="E360" t="inlineStr">
        <is>
          <t>ÖDESHÖG</t>
        </is>
      </c>
      <c r="G360" t="n">
        <v>0.1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15906-2024</t>
        </is>
      </c>
      <c r="B361" s="1" t="n">
        <v>45405</v>
      </c>
      <c r="C361" s="1" t="n">
        <v>45706</v>
      </c>
      <c r="D361" t="inlineStr">
        <is>
          <t>ÖSTERGÖTLANDS LÄN</t>
        </is>
      </c>
      <c r="E361" t="inlineStr">
        <is>
          <t>ÖDESHÖG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16270-2024</t>
        </is>
      </c>
      <c r="B362" s="1" t="n">
        <v>45407</v>
      </c>
      <c r="C362" s="1" t="n">
        <v>45706</v>
      </c>
      <c r="D362" t="inlineStr">
        <is>
          <t>ÖSTERGÖTLANDS LÄN</t>
        </is>
      </c>
      <c r="E362" t="inlineStr">
        <is>
          <t>ÖDESHÖG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17136-2024</t>
        </is>
      </c>
      <c r="B363" s="1" t="n">
        <v>45412</v>
      </c>
      <c r="C363" s="1" t="n">
        <v>45706</v>
      </c>
      <c r="D363" t="inlineStr">
        <is>
          <t>ÖSTERGÖTLANDS LÄN</t>
        </is>
      </c>
      <c r="E363" t="inlineStr">
        <is>
          <t>ÖDESHÖG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17126-2024</t>
        </is>
      </c>
      <c r="B364" s="1" t="n">
        <v>45412</v>
      </c>
      <c r="C364" s="1" t="n">
        <v>45706</v>
      </c>
      <c r="D364" t="inlineStr">
        <is>
          <t>ÖSTERGÖTLANDS LÄN</t>
        </is>
      </c>
      <c r="E364" t="inlineStr">
        <is>
          <t>ÖDESHÖG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17129-2024</t>
        </is>
      </c>
      <c r="B365" s="1" t="n">
        <v>45412</v>
      </c>
      <c r="C365" s="1" t="n">
        <v>45706</v>
      </c>
      <c r="D365" t="inlineStr">
        <is>
          <t>ÖSTERGÖTLANDS LÄN</t>
        </is>
      </c>
      <c r="E365" t="inlineStr">
        <is>
          <t>ÖDESHÖG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17251-2024</t>
        </is>
      </c>
      <c r="B366" s="1" t="n">
        <v>45414</v>
      </c>
      <c r="C366" s="1" t="n">
        <v>45706</v>
      </c>
      <c r="D366" t="inlineStr">
        <is>
          <t>ÖSTERGÖTLANDS LÄN</t>
        </is>
      </c>
      <c r="E366" t="inlineStr">
        <is>
          <t>ÖDESHÖG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17618-2024</t>
        </is>
      </c>
      <c r="B367" s="1" t="n">
        <v>45416</v>
      </c>
      <c r="C367" s="1" t="n">
        <v>45706</v>
      </c>
      <c r="D367" t="inlineStr">
        <is>
          <t>ÖSTERGÖTLANDS LÄN</t>
        </is>
      </c>
      <c r="E367" t="inlineStr">
        <is>
          <t>ÖDESHÖG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17984-2024</t>
        </is>
      </c>
      <c r="B368" s="1" t="n">
        <v>45419</v>
      </c>
      <c r="C368" s="1" t="n">
        <v>45706</v>
      </c>
      <c r="D368" t="inlineStr">
        <is>
          <t>ÖSTERGÖTLANDS LÄN</t>
        </is>
      </c>
      <c r="E368" t="inlineStr">
        <is>
          <t>ÖDESHÖG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17992-2024</t>
        </is>
      </c>
      <c r="B369" s="1" t="n">
        <v>45419</v>
      </c>
      <c r="C369" s="1" t="n">
        <v>45706</v>
      </c>
      <c r="D369" t="inlineStr">
        <is>
          <t>ÖSTERGÖTLANDS LÄN</t>
        </is>
      </c>
      <c r="E369" t="inlineStr">
        <is>
          <t>ÖDESHÖG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18127-2024</t>
        </is>
      </c>
      <c r="B370" s="1" t="n">
        <v>45420</v>
      </c>
      <c r="C370" s="1" t="n">
        <v>45706</v>
      </c>
      <c r="D370" t="inlineStr">
        <is>
          <t>ÖSTERGÖTLANDS LÄN</t>
        </is>
      </c>
      <c r="E370" t="inlineStr">
        <is>
          <t>ÖDESHÖG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19281-2024</t>
        </is>
      </c>
      <c r="B371" s="1" t="n">
        <v>45428</v>
      </c>
      <c r="C371" s="1" t="n">
        <v>45706</v>
      </c>
      <c r="D371" t="inlineStr">
        <is>
          <t>ÖSTERGÖTLANDS LÄN</t>
        </is>
      </c>
      <c r="E371" t="inlineStr">
        <is>
          <t>ÖDESHÖG</t>
        </is>
      </c>
      <c r="G371" t="n">
        <v>6.1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19285-2024</t>
        </is>
      </c>
      <c r="B372" s="1" t="n">
        <v>45428</v>
      </c>
      <c r="C372" s="1" t="n">
        <v>45706</v>
      </c>
      <c r="D372" t="inlineStr">
        <is>
          <t>ÖSTERGÖTLANDS LÄN</t>
        </is>
      </c>
      <c r="E372" t="inlineStr">
        <is>
          <t>ÖDESHÖG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19279-2024</t>
        </is>
      </c>
      <c r="B373" s="1" t="n">
        <v>45428</v>
      </c>
      <c r="C373" s="1" t="n">
        <v>45706</v>
      </c>
      <c r="D373" t="inlineStr">
        <is>
          <t>ÖSTERGÖTLANDS LÄN</t>
        </is>
      </c>
      <c r="E373" t="inlineStr">
        <is>
          <t>ÖDESHÖG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19283-2024</t>
        </is>
      </c>
      <c r="B374" s="1" t="n">
        <v>45428</v>
      </c>
      <c r="C374" s="1" t="n">
        <v>45706</v>
      </c>
      <c r="D374" t="inlineStr">
        <is>
          <t>ÖSTERGÖTLANDS LÄN</t>
        </is>
      </c>
      <c r="E374" t="inlineStr">
        <is>
          <t>ÖDESHÖG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21021-2024</t>
        </is>
      </c>
      <c r="B375" s="1" t="n">
        <v>45439</v>
      </c>
      <c r="C375" s="1" t="n">
        <v>45706</v>
      </c>
      <c r="D375" t="inlineStr">
        <is>
          <t>ÖSTERGÖTLANDS LÄN</t>
        </is>
      </c>
      <c r="E375" t="inlineStr">
        <is>
          <t>ÖDESHÖG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26838-2024</t>
        </is>
      </c>
      <c r="B376" s="1" t="n">
        <v>45470</v>
      </c>
      <c r="C376" s="1" t="n">
        <v>45706</v>
      </c>
      <c r="D376" t="inlineStr">
        <is>
          <t>ÖSTERGÖTLANDS LÄN</t>
        </is>
      </c>
      <c r="E376" t="inlineStr">
        <is>
          <t>ÖDESHÖG</t>
        </is>
      </c>
      <c r="G376" t="n">
        <v>3.2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26739-2024</t>
        </is>
      </c>
      <c r="B377" s="1" t="n">
        <v>45470</v>
      </c>
      <c r="C377" s="1" t="n">
        <v>45706</v>
      </c>
      <c r="D377" t="inlineStr">
        <is>
          <t>ÖSTERGÖTLANDS LÄN</t>
        </is>
      </c>
      <c r="E377" t="inlineStr">
        <is>
          <t>ÖDESHÖG</t>
        </is>
      </c>
      <c r="G377" t="n">
        <v>5.1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27093-2024</t>
        </is>
      </c>
      <c r="B378" s="1" t="n">
        <v>45471</v>
      </c>
      <c r="C378" s="1" t="n">
        <v>45706</v>
      </c>
      <c r="D378" t="inlineStr">
        <is>
          <t>ÖSTERGÖTLANDS LÄN</t>
        </is>
      </c>
      <c r="E378" t="inlineStr">
        <is>
          <t>ÖDESHÖG</t>
        </is>
      </c>
      <c r="G378" t="n">
        <v>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27087-2024</t>
        </is>
      </c>
      <c r="B379" s="1" t="n">
        <v>45471</v>
      </c>
      <c r="C379" s="1" t="n">
        <v>45706</v>
      </c>
      <c r="D379" t="inlineStr">
        <is>
          <t>ÖSTERGÖTLANDS LÄN</t>
        </is>
      </c>
      <c r="E379" t="inlineStr">
        <is>
          <t>ÖDESHÖG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28252-2024</t>
        </is>
      </c>
      <c r="B380" s="1" t="n">
        <v>45477</v>
      </c>
      <c r="C380" s="1" t="n">
        <v>45706</v>
      </c>
      <c r="D380" t="inlineStr">
        <is>
          <t>ÖSTERGÖTLANDS LÄN</t>
        </is>
      </c>
      <c r="E380" t="inlineStr">
        <is>
          <t>ÖDESHÖG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30389-2024</t>
        </is>
      </c>
      <c r="B381" s="1" t="n">
        <v>45491</v>
      </c>
      <c r="C381" s="1" t="n">
        <v>45706</v>
      </c>
      <c r="D381" t="inlineStr">
        <is>
          <t>ÖSTERGÖTLANDS LÄN</t>
        </is>
      </c>
      <c r="E381" t="inlineStr">
        <is>
          <t>ÖDESHÖG</t>
        </is>
      </c>
      <c r="G381" t="n">
        <v>5.6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30388-2024</t>
        </is>
      </c>
      <c r="B382" s="1" t="n">
        <v>45491</v>
      </c>
      <c r="C382" s="1" t="n">
        <v>45706</v>
      </c>
      <c r="D382" t="inlineStr">
        <is>
          <t>ÖSTERGÖTLANDS LÄN</t>
        </is>
      </c>
      <c r="E382" t="inlineStr">
        <is>
          <t>ÖDESHÖG</t>
        </is>
      </c>
      <c r="G382" t="n">
        <v>1.9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32378-2024</t>
        </is>
      </c>
      <c r="B383" s="1" t="n">
        <v>45512</v>
      </c>
      <c r="C383" s="1" t="n">
        <v>45706</v>
      </c>
      <c r="D383" t="inlineStr">
        <is>
          <t>ÖSTERGÖTLANDS LÄN</t>
        </is>
      </c>
      <c r="E383" t="inlineStr">
        <is>
          <t>ÖDESHÖG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32335-2024</t>
        </is>
      </c>
      <c r="B384" s="1" t="n">
        <v>45512</v>
      </c>
      <c r="C384" s="1" t="n">
        <v>45706</v>
      </c>
      <c r="D384" t="inlineStr">
        <is>
          <t>ÖSTERGÖTLANDS LÄN</t>
        </is>
      </c>
      <c r="E384" t="inlineStr">
        <is>
          <t>ÖDESHÖG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32715-2024</t>
        </is>
      </c>
      <c r="B385" s="1" t="n">
        <v>45516</v>
      </c>
      <c r="C385" s="1" t="n">
        <v>45706</v>
      </c>
      <c r="D385" t="inlineStr">
        <is>
          <t>ÖSTERGÖTLANDS LÄN</t>
        </is>
      </c>
      <c r="E385" t="inlineStr">
        <is>
          <t>ÖDESHÖG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32713-2024</t>
        </is>
      </c>
      <c r="B386" s="1" t="n">
        <v>45516</v>
      </c>
      <c r="C386" s="1" t="n">
        <v>45706</v>
      </c>
      <c r="D386" t="inlineStr">
        <is>
          <t>ÖSTERGÖTLANDS LÄN</t>
        </is>
      </c>
      <c r="E386" t="inlineStr">
        <is>
          <t>ÖDESHÖG</t>
        </is>
      </c>
      <c r="G386" t="n">
        <v>6.1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33375-2024</t>
        </is>
      </c>
      <c r="B387" s="1" t="n">
        <v>45519</v>
      </c>
      <c r="C387" s="1" t="n">
        <v>45706</v>
      </c>
      <c r="D387" t="inlineStr">
        <is>
          <t>ÖSTERGÖTLANDS LÄN</t>
        </is>
      </c>
      <c r="E387" t="inlineStr">
        <is>
          <t>ÖDESHÖG</t>
        </is>
      </c>
      <c r="F387" t="inlineStr">
        <is>
          <t>Allmännings- och besparingsskogar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35661-2024</t>
        </is>
      </c>
      <c r="B388" s="1" t="n">
        <v>45532</v>
      </c>
      <c r="C388" s="1" t="n">
        <v>45706</v>
      </c>
      <c r="D388" t="inlineStr">
        <is>
          <t>ÖSTERGÖTLANDS LÄN</t>
        </is>
      </c>
      <c r="E388" t="inlineStr">
        <is>
          <t>ÖDESHÖG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36099-2024</t>
        </is>
      </c>
      <c r="B389" s="1" t="n">
        <v>45533</v>
      </c>
      <c r="C389" s="1" t="n">
        <v>45706</v>
      </c>
      <c r="D389" t="inlineStr">
        <is>
          <t>ÖSTERGÖTLANDS LÄN</t>
        </is>
      </c>
      <c r="E389" t="inlineStr">
        <is>
          <t>ÖDESHÖG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36098-2024</t>
        </is>
      </c>
      <c r="B390" s="1" t="n">
        <v>45533</v>
      </c>
      <c r="C390" s="1" t="n">
        <v>45706</v>
      </c>
      <c r="D390" t="inlineStr">
        <is>
          <t>ÖSTERGÖTLANDS LÄN</t>
        </is>
      </c>
      <c r="E390" t="inlineStr">
        <is>
          <t>ÖDESHÖG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36565-2024</t>
        </is>
      </c>
      <c r="B391" s="1" t="n">
        <v>45537</v>
      </c>
      <c r="C391" s="1" t="n">
        <v>45706</v>
      </c>
      <c r="D391" t="inlineStr">
        <is>
          <t>ÖSTERGÖTLANDS LÄN</t>
        </is>
      </c>
      <c r="E391" t="inlineStr">
        <is>
          <t>ÖDESHÖG</t>
        </is>
      </c>
      <c r="G391" t="n">
        <v>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37132-2024</t>
        </is>
      </c>
      <c r="B392" s="1" t="n">
        <v>45539</v>
      </c>
      <c r="C392" s="1" t="n">
        <v>45706</v>
      </c>
      <c r="D392" t="inlineStr">
        <is>
          <t>ÖSTERGÖTLANDS LÄN</t>
        </is>
      </c>
      <c r="E392" t="inlineStr">
        <is>
          <t>ÖDESHÖG</t>
        </is>
      </c>
      <c r="G392" t="n">
        <v>4.5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37134-2024</t>
        </is>
      </c>
      <c r="B393" s="1" t="n">
        <v>45539</v>
      </c>
      <c r="C393" s="1" t="n">
        <v>45706</v>
      </c>
      <c r="D393" t="inlineStr">
        <is>
          <t>ÖSTERGÖTLANDS LÄN</t>
        </is>
      </c>
      <c r="E393" t="inlineStr">
        <is>
          <t>ÖDESHÖG</t>
        </is>
      </c>
      <c r="G393" t="n">
        <v>4.3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38030-2024</t>
        </is>
      </c>
      <c r="B394" s="1" t="n">
        <v>45544</v>
      </c>
      <c r="C394" s="1" t="n">
        <v>45706</v>
      </c>
      <c r="D394" t="inlineStr">
        <is>
          <t>ÖSTERGÖTLANDS LÄN</t>
        </is>
      </c>
      <c r="E394" t="inlineStr">
        <is>
          <t>ÖDESHÖG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38168-2024</t>
        </is>
      </c>
      <c r="B395" s="1" t="n">
        <v>45545</v>
      </c>
      <c r="C395" s="1" t="n">
        <v>45706</v>
      </c>
      <c r="D395" t="inlineStr">
        <is>
          <t>ÖSTERGÖTLANDS LÄN</t>
        </is>
      </c>
      <c r="E395" t="inlineStr">
        <is>
          <t>ÖDESHÖG</t>
        </is>
      </c>
      <c r="F395" t="inlineStr">
        <is>
          <t>Sveaskog</t>
        </is>
      </c>
      <c r="G395" t="n">
        <v>3.9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38259-2024</t>
        </is>
      </c>
      <c r="B396" s="1" t="n">
        <v>45545</v>
      </c>
      <c r="C396" s="1" t="n">
        <v>45706</v>
      </c>
      <c r="D396" t="inlineStr">
        <is>
          <t>ÖSTERGÖTLANDS LÄN</t>
        </is>
      </c>
      <c r="E396" t="inlineStr">
        <is>
          <t>ÖDESHÖG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38418-2024</t>
        </is>
      </c>
      <c r="B397" s="1" t="n">
        <v>45546</v>
      </c>
      <c r="C397" s="1" t="n">
        <v>45706</v>
      </c>
      <c r="D397" t="inlineStr">
        <is>
          <t>ÖSTERGÖTLANDS LÄN</t>
        </is>
      </c>
      <c r="E397" t="inlineStr">
        <is>
          <t>ÖDESHÖG</t>
        </is>
      </c>
      <c r="F397" t="inlineStr">
        <is>
          <t>Sveaskog</t>
        </is>
      </c>
      <c r="G397" t="n">
        <v>3.9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38487-2024</t>
        </is>
      </c>
      <c r="B398" s="1" t="n">
        <v>45546</v>
      </c>
      <c r="C398" s="1" t="n">
        <v>45706</v>
      </c>
      <c r="D398" t="inlineStr">
        <is>
          <t>ÖSTERGÖTLANDS LÄN</t>
        </is>
      </c>
      <c r="E398" t="inlineStr">
        <is>
          <t>ÖDESHÖG</t>
        </is>
      </c>
      <c r="F398" t="inlineStr">
        <is>
          <t>Sveaskog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39642-2024</t>
        </is>
      </c>
      <c r="B399" s="1" t="n">
        <v>45552</v>
      </c>
      <c r="C399" s="1" t="n">
        <v>45706</v>
      </c>
      <c r="D399" t="inlineStr">
        <is>
          <t>ÖSTERGÖTLANDS LÄN</t>
        </is>
      </c>
      <c r="E399" t="inlineStr">
        <is>
          <t>ÖDESHÖG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39920-2024</t>
        </is>
      </c>
      <c r="B400" s="1" t="n">
        <v>45553</v>
      </c>
      <c r="C400" s="1" t="n">
        <v>45706</v>
      </c>
      <c r="D400" t="inlineStr">
        <is>
          <t>ÖSTERGÖTLANDS LÄN</t>
        </is>
      </c>
      <c r="E400" t="inlineStr">
        <is>
          <t>ÖDESHÖG</t>
        </is>
      </c>
      <c r="G400" t="n">
        <v>0.4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41217-2024</t>
        </is>
      </c>
      <c r="B401" s="1" t="n">
        <v>45559</v>
      </c>
      <c r="C401" s="1" t="n">
        <v>45706</v>
      </c>
      <c r="D401" t="inlineStr">
        <is>
          <t>ÖSTERGÖTLANDS LÄN</t>
        </is>
      </c>
      <c r="E401" t="inlineStr">
        <is>
          <t>ÖDESHÖG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45368-2024</t>
        </is>
      </c>
      <c r="B402" s="1" t="n">
        <v>45576</v>
      </c>
      <c r="C402" s="1" t="n">
        <v>45706</v>
      </c>
      <c r="D402" t="inlineStr">
        <is>
          <t>ÖSTERGÖTLANDS LÄN</t>
        </is>
      </c>
      <c r="E402" t="inlineStr">
        <is>
          <t>ÖDESHÖG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45358-2024</t>
        </is>
      </c>
      <c r="B403" s="1" t="n">
        <v>45576</v>
      </c>
      <c r="C403" s="1" t="n">
        <v>45706</v>
      </c>
      <c r="D403" t="inlineStr">
        <is>
          <t>ÖSTERGÖTLANDS LÄN</t>
        </is>
      </c>
      <c r="E403" t="inlineStr">
        <is>
          <t>ÖDESHÖG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45973-2024</t>
        </is>
      </c>
      <c r="B404" s="1" t="n">
        <v>45580</v>
      </c>
      <c r="C404" s="1" t="n">
        <v>45706</v>
      </c>
      <c r="D404" t="inlineStr">
        <is>
          <t>ÖSTERGÖTLANDS LÄN</t>
        </is>
      </c>
      <c r="E404" t="inlineStr">
        <is>
          <t>ÖDESHÖG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45926-2024</t>
        </is>
      </c>
      <c r="B405" s="1" t="n">
        <v>45580</v>
      </c>
      <c r="C405" s="1" t="n">
        <v>45706</v>
      </c>
      <c r="D405" t="inlineStr">
        <is>
          <t>ÖSTERGÖTLANDS LÄN</t>
        </is>
      </c>
      <c r="E405" t="inlineStr">
        <is>
          <t>ÖDESHÖG</t>
        </is>
      </c>
      <c r="G405" t="n">
        <v>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46528-2024</t>
        </is>
      </c>
      <c r="B406" s="1" t="n">
        <v>45582</v>
      </c>
      <c r="C406" s="1" t="n">
        <v>45706</v>
      </c>
      <c r="D406" t="inlineStr">
        <is>
          <t>ÖSTERGÖTLANDS LÄN</t>
        </is>
      </c>
      <c r="E406" t="inlineStr">
        <is>
          <t>ÖDESHÖG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46536-2024</t>
        </is>
      </c>
      <c r="B407" s="1" t="n">
        <v>45582</v>
      </c>
      <c r="C407" s="1" t="n">
        <v>45706</v>
      </c>
      <c r="D407" t="inlineStr">
        <is>
          <t>ÖSTERGÖTLANDS LÄN</t>
        </is>
      </c>
      <c r="E407" t="inlineStr">
        <is>
          <t>ÖDESHÖG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46474-2024</t>
        </is>
      </c>
      <c r="B408" s="1" t="n">
        <v>45582</v>
      </c>
      <c r="C408" s="1" t="n">
        <v>45706</v>
      </c>
      <c r="D408" t="inlineStr">
        <is>
          <t>ÖSTERGÖTLANDS LÄN</t>
        </is>
      </c>
      <c r="E408" t="inlineStr">
        <is>
          <t>ÖDESHÖG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46934-2024</t>
        </is>
      </c>
      <c r="B409" s="1" t="n">
        <v>45585</v>
      </c>
      <c r="C409" s="1" t="n">
        <v>45706</v>
      </c>
      <c r="D409" t="inlineStr">
        <is>
          <t>ÖSTERGÖTLANDS LÄN</t>
        </is>
      </c>
      <c r="E409" t="inlineStr">
        <is>
          <t>ÖDESHÖG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47993-2024</t>
        </is>
      </c>
      <c r="B410" s="1" t="n">
        <v>45589</v>
      </c>
      <c r="C410" s="1" t="n">
        <v>45706</v>
      </c>
      <c r="D410" t="inlineStr">
        <is>
          <t>ÖSTERGÖTLANDS LÄN</t>
        </is>
      </c>
      <c r="E410" t="inlineStr">
        <is>
          <t>ÖDESHÖG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49330-2024</t>
        </is>
      </c>
      <c r="B411" s="1" t="n">
        <v>45595</v>
      </c>
      <c r="C411" s="1" t="n">
        <v>45706</v>
      </c>
      <c r="D411" t="inlineStr">
        <is>
          <t>ÖSTERGÖTLANDS LÄN</t>
        </is>
      </c>
      <c r="E411" t="inlineStr">
        <is>
          <t>ÖDESHÖG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49701-2024</t>
        </is>
      </c>
      <c r="B412" s="1" t="n">
        <v>45596</v>
      </c>
      <c r="C412" s="1" t="n">
        <v>45706</v>
      </c>
      <c r="D412" t="inlineStr">
        <is>
          <t>ÖSTERGÖTLANDS LÄN</t>
        </is>
      </c>
      <c r="E412" t="inlineStr">
        <is>
          <t>ÖDESHÖG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49516-2024</t>
        </is>
      </c>
      <c r="B413" s="1" t="n">
        <v>45596</v>
      </c>
      <c r="C413" s="1" t="n">
        <v>45706</v>
      </c>
      <c r="D413" t="inlineStr">
        <is>
          <t>ÖSTERGÖTLANDS LÄN</t>
        </is>
      </c>
      <c r="E413" t="inlineStr">
        <is>
          <t>ÖDESHÖG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49531-2024</t>
        </is>
      </c>
      <c r="B414" s="1" t="n">
        <v>45596</v>
      </c>
      <c r="C414" s="1" t="n">
        <v>45706</v>
      </c>
      <c r="D414" t="inlineStr">
        <is>
          <t>ÖSTERGÖTLANDS LÄN</t>
        </is>
      </c>
      <c r="E414" t="inlineStr">
        <is>
          <t>ÖDESHÖG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50387-2024</t>
        </is>
      </c>
      <c r="B415" s="1" t="n">
        <v>45600</v>
      </c>
      <c r="C415" s="1" t="n">
        <v>45706</v>
      </c>
      <c r="D415" t="inlineStr">
        <is>
          <t>ÖSTERGÖTLANDS LÄN</t>
        </is>
      </c>
      <c r="E415" t="inlineStr">
        <is>
          <t>ÖDESHÖG</t>
        </is>
      </c>
      <c r="G415" t="n">
        <v>8.5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50828-2024</t>
        </is>
      </c>
      <c r="B416" s="1" t="n">
        <v>45602</v>
      </c>
      <c r="C416" s="1" t="n">
        <v>45706</v>
      </c>
      <c r="D416" t="inlineStr">
        <is>
          <t>ÖSTERGÖTLANDS LÄN</t>
        </is>
      </c>
      <c r="E416" t="inlineStr">
        <is>
          <t>ÖDESHÖG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50865-2024</t>
        </is>
      </c>
      <c r="B417" s="1" t="n">
        <v>45602</v>
      </c>
      <c r="C417" s="1" t="n">
        <v>45706</v>
      </c>
      <c r="D417" t="inlineStr">
        <is>
          <t>ÖSTERGÖTLANDS LÄN</t>
        </is>
      </c>
      <c r="E417" t="inlineStr">
        <is>
          <t>ÖDESHÖG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51180-2024</t>
        </is>
      </c>
      <c r="B418" s="1" t="n">
        <v>45603</v>
      </c>
      <c r="C418" s="1" t="n">
        <v>45706</v>
      </c>
      <c r="D418" t="inlineStr">
        <is>
          <t>ÖSTERGÖTLANDS LÄN</t>
        </is>
      </c>
      <c r="E418" t="inlineStr">
        <is>
          <t>ÖDESHÖG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51041-2024</t>
        </is>
      </c>
      <c r="B419" s="1" t="n">
        <v>45603</v>
      </c>
      <c r="C419" s="1" t="n">
        <v>45706</v>
      </c>
      <c r="D419" t="inlineStr">
        <is>
          <t>ÖSTERGÖTLANDS LÄN</t>
        </is>
      </c>
      <c r="E419" t="inlineStr">
        <is>
          <t>ÖDESHÖG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51178-2024</t>
        </is>
      </c>
      <c r="B420" s="1" t="n">
        <v>45603</v>
      </c>
      <c r="C420" s="1" t="n">
        <v>45706</v>
      </c>
      <c r="D420" t="inlineStr">
        <is>
          <t>ÖSTERGÖTLANDS LÄN</t>
        </is>
      </c>
      <c r="E420" t="inlineStr">
        <is>
          <t>ÖDESHÖG</t>
        </is>
      </c>
      <c r="G420" t="n">
        <v>0.5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51734-2024</t>
        </is>
      </c>
      <c r="B421" s="1" t="n">
        <v>45607</v>
      </c>
      <c r="C421" s="1" t="n">
        <v>45706</v>
      </c>
      <c r="D421" t="inlineStr">
        <is>
          <t>ÖSTERGÖTLANDS LÄN</t>
        </is>
      </c>
      <c r="E421" t="inlineStr">
        <is>
          <t>ÖDESHÖG</t>
        </is>
      </c>
      <c r="G421" t="n">
        <v>1.4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51727-2024</t>
        </is>
      </c>
      <c r="B422" s="1" t="n">
        <v>45607</v>
      </c>
      <c r="C422" s="1" t="n">
        <v>45706</v>
      </c>
      <c r="D422" t="inlineStr">
        <is>
          <t>ÖSTERGÖTLANDS LÄN</t>
        </is>
      </c>
      <c r="E422" t="inlineStr">
        <is>
          <t>ÖDESHÖG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52095-2024</t>
        </is>
      </c>
      <c r="B423" s="1" t="n">
        <v>45608</v>
      </c>
      <c r="C423" s="1" t="n">
        <v>45706</v>
      </c>
      <c r="D423" t="inlineStr">
        <is>
          <t>ÖSTERGÖTLANDS LÄN</t>
        </is>
      </c>
      <c r="E423" t="inlineStr">
        <is>
          <t>ÖDESHÖG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53676-2024</t>
        </is>
      </c>
      <c r="B424" s="1" t="n">
        <v>45615</v>
      </c>
      <c r="C424" s="1" t="n">
        <v>45706</v>
      </c>
      <c r="D424" t="inlineStr">
        <is>
          <t>ÖSTERGÖTLANDS LÄN</t>
        </is>
      </c>
      <c r="E424" t="inlineStr">
        <is>
          <t>ÖDESHÖG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53671-2024</t>
        </is>
      </c>
      <c r="B425" s="1" t="n">
        <v>45615</v>
      </c>
      <c r="C425" s="1" t="n">
        <v>45706</v>
      </c>
      <c r="D425" t="inlineStr">
        <is>
          <t>ÖSTERGÖTLANDS LÄN</t>
        </is>
      </c>
      <c r="E425" t="inlineStr">
        <is>
          <t>ÖDESHÖG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54028-2024</t>
        </is>
      </c>
      <c r="B426" s="1" t="n">
        <v>45616</v>
      </c>
      <c r="C426" s="1" t="n">
        <v>45706</v>
      </c>
      <c r="D426" t="inlineStr">
        <is>
          <t>ÖSTERGÖTLANDS LÄN</t>
        </is>
      </c>
      <c r="E426" t="inlineStr">
        <is>
          <t>ÖDESHÖG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54590-2024</t>
        </is>
      </c>
      <c r="B427" s="1" t="n">
        <v>45617</v>
      </c>
      <c r="C427" s="1" t="n">
        <v>45706</v>
      </c>
      <c r="D427" t="inlineStr">
        <is>
          <t>ÖSTERGÖTLANDS LÄN</t>
        </is>
      </c>
      <c r="E427" t="inlineStr">
        <is>
          <t>ÖDESHÖG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54573-2024</t>
        </is>
      </c>
      <c r="B428" s="1" t="n">
        <v>45617</v>
      </c>
      <c r="C428" s="1" t="n">
        <v>45706</v>
      </c>
      <c r="D428" t="inlineStr">
        <is>
          <t>ÖSTERGÖTLANDS LÄN</t>
        </is>
      </c>
      <c r="E428" t="inlineStr">
        <is>
          <t>ÖDESHÖG</t>
        </is>
      </c>
      <c r="G428" t="n">
        <v>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55173-2024</t>
        </is>
      </c>
      <c r="B429" s="1" t="n">
        <v>45618</v>
      </c>
      <c r="C429" s="1" t="n">
        <v>45706</v>
      </c>
      <c r="D429" t="inlineStr">
        <is>
          <t>ÖSTERGÖTLANDS LÄN</t>
        </is>
      </c>
      <c r="E429" t="inlineStr">
        <is>
          <t>ÖDESHÖG</t>
        </is>
      </c>
      <c r="G429" t="n">
        <v>16.5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58018-2024</t>
        </is>
      </c>
      <c r="B430" s="1" t="n">
        <v>45631</v>
      </c>
      <c r="C430" s="1" t="n">
        <v>45706</v>
      </c>
      <c r="D430" t="inlineStr">
        <is>
          <t>ÖSTERGÖTLANDS LÄN</t>
        </is>
      </c>
      <c r="E430" t="inlineStr">
        <is>
          <t>ÖDESHÖG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58198-2024</t>
        </is>
      </c>
      <c r="B431" s="1" t="n">
        <v>45632</v>
      </c>
      <c r="C431" s="1" t="n">
        <v>45706</v>
      </c>
      <c r="D431" t="inlineStr">
        <is>
          <t>ÖSTERGÖTLANDS LÄN</t>
        </is>
      </c>
      <c r="E431" t="inlineStr">
        <is>
          <t>ÖDESHÖG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58474-2024</t>
        </is>
      </c>
      <c r="B432" s="1" t="n">
        <v>45635</v>
      </c>
      <c r="C432" s="1" t="n">
        <v>45706</v>
      </c>
      <c r="D432" t="inlineStr">
        <is>
          <t>ÖSTERGÖTLANDS LÄN</t>
        </is>
      </c>
      <c r="E432" t="inlineStr">
        <is>
          <t>ÖDESHÖG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59352-2024</t>
        </is>
      </c>
      <c r="B433" s="1" t="n">
        <v>45638</v>
      </c>
      <c r="C433" s="1" t="n">
        <v>45706</v>
      </c>
      <c r="D433" t="inlineStr">
        <is>
          <t>ÖSTERGÖTLANDS LÄN</t>
        </is>
      </c>
      <c r="E433" t="inlineStr">
        <is>
          <t>ÖDESHÖG</t>
        </is>
      </c>
      <c r="G433" t="n">
        <v>3.9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60994-2024</t>
        </is>
      </c>
      <c r="B434" s="1" t="n">
        <v>45645</v>
      </c>
      <c r="C434" s="1" t="n">
        <v>45706</v>
      </c>
      <c r="D434" t="inlineStr">
        <is>
          <t>ÖSTERGÖTLANDS LÄN</t>
        </is>
      </c>
      <c r="E434" t="inlineStr">
        <is>
          <t>ÖDESHÖG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60952-2024</t>
        </is>
      </c>
      <c r="B435" s="1" t="n">
        <v>45645</v>
      </c>
      <c r="C435" s="1" t="n">
        <v>45706</v>
      </c>
      <c r="D435" t="inlineStr">
        <is>
          <t>ÖSTERGÖTLANDS LÄN</t>
        </is>
      </c>
      <c r="E435" t="inlineStr">
        <is>
          <t>ÖDESHÖG</t>
        </is>
      </c>
      <c r="G435" t="n">
        <v>8.300000000000001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61011-2024</t>
        </is>
      </c>
      <c r="B436" s="1" t="n">
        <v>45645</v>
      </c>
      <c r="C436" s="1" t="n">
        <v>45706</v>
      </c>
      <c r="D436" t="inlineStr">
        <is>
          <t>ÖSTERGÖTLANDS LÄN</t>
        </is>
      </c>
      <c r="E436" t="inlineStr">
        <is>
          <t>ÖDESHÖG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61086-2024</t>
        </is>
      </c>
      <c r="B437" s="1" t="n">
        <v>45645</v>
      </c>
      <c r="C437" s="1" t="n">
        <v>45706</v>
      </c>
      <c r="D437" t="inlineStr">
        <is>
          <t>ÖSTERGÖTLANDS LÄN</t>
        </is>
      </c>
      <c r="E437" t="inlineStr">
        <is>
          <t>ÖDESHÖG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780-2025</t>
        </is>
      </c>
      <c r="B438" s="1" t="n">
        <v>45665</v>
      </c>
      <c r="C438" s="1" t="n">
        <v>45706</v>
      </c>
      <c r="D438" t="inlineStr">
        <is>
          <t>ÖSTERGÖTLANDS LÄN</t>
        </is>
      </c>
      <c r="E438" t="inlineStr">
        <is>
          <t>ÖDESHÖG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1228-2025</t>
        </is>
      </c>
      <c r="B439" s="1" t="n">
        <v>45667</v>
      </c>
      <c r="C439" s="1" t="n">
        <v>45706</v>
      </c>
      <c r="D439" t="inlineStr">
        <is>
          <t>ÖSTERGÖTLANDS LÄN</t>
        </is>
      </c>
      <c r="E439" t="inlineStr">
        <is>
          <t>ÖDESHÖG</t>
        </is>
      </c>
      <c r="G439" t="n">
        <v>4.4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1749-2025</t>
        </is>
      </c>
      <c r="B440" s="1" t="n">
        <v>45671</v>
      </c>
      <c r="C440" s="1" t="n">
        <v>45706</v>
      </c>
      <c r="D440" t="inlineStr">
        <is>
          <t>ÖSTERGÖTLANDS LÄN</t>
        </is>
      </c>
      <c r="E440" t="inlineStr">
        <is>
          <t>ÖDESHÖG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2726-2025</t>
        </is>
      </c>
      <c r="B441" s="1" t="n">
        <v>45677</v>
      </c>
      <c r="C441" s="1" t="n">
        <v>45706</v>
      </c>
      <c r="D441" t="inlineStr">
        <is>
          <t>ÖSTERGÖTLANDS LÄN</t>
        </is>
      </c>
      <c r="E441" t="inlineStr">
        <is>
          <t>ÖDESHÖG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3130-2025</t>
        </is>
      </c>
      <c r="B442" s="1" t="n">
        <v>45678</v>
      </c>
      <c r="C442" s="1" t="n">
        <v>45706</v>
      </c>
      <c r="D442" t="inlineStr">
        <is>
          <t>ÖSTERGÖTLANDS LÄN</t>
        </is>
      </c>
      <c r="E442" t="inlineStr">
        <is>
          <t>ÖDESHÖG</t>
        </is>
      </c>
      <c r="F442" t="inlineStr">
        <is>
          <t>Allmännings- och besparingsskogar</t>
        </is>
      </c>
      <c r="G442" t="n">
        <v>18.6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3554-2025</t>
        </is>
      </c>
      <c r="B443" s="1" t="n">
        <v>45680</v>
      </c>
      <c r="C443" s="1" t="n">
        <v>45706</v>
      </c>
      <c r="D443" t="inlineStr">
        <is>
          <t>ÖSTERGÖTLANDS LÄN</t>
        </is>
      </c>
      <c r="E443" t="inlineStr">
        <is>
          <t>ÖDESHÖG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4168-2025</t>
        </is>
      </c>
      <c r="B444" s="1" t="n">
        <v>45685</v>
      </c>
      <c r="C444" s="1" t="n">
        <v>45706</v>
      </c>
      <c r="D444" t="inlineStr">
        <is>
          <t>ÖSTERGÖTLANDS LÄN</t>
        </is>
      </c>
      <c r="E444" t="inlineStr">
        <is>
          <t>ÖDESHÖG</t>
        </is>
      </c>
      <c r="F444" t="inlineStr">
        <is>
          <t>Kyrkan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5151-2025</t>
        </is>
      </c>
      <c r="B445" s="1" t="n">
        <v>45691</v>
      </c>
      <c r="C445" s="1" t="n">
        <v>45706</v>
      </c>
      <c r="D445" t="inlineStr">
        <is>
          <t>ÖSTERGÖTLANDS LÄN</t>
        </is>
      </c>
      <c r="E445" t="inlineStr">
        <is>
          <t>ÖDESHÖG</t>
        </is>
      </c>
      <c r="G445" t="n">
        <v>2.9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5350-2025</t>
        </is>
      </c>
      <c r="B446" s="1" t="n">
        <v>45692</v>
      </c>
      <c r="C446" s="1" t="n">
        <v>45706</v>
      </c>
      <c r="D446" t="inlineStr">
        <is>
          <t>ÖSTERGÖTLANDS LÄN</t>
        </is>
      </c>
      <c r="E446" t="inlineStr">
        <is>
          <t>ÖDESHÖG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5513-2025</t>
        </is>
      </c>
      <c r="B447" s="1" t="n">
        <v>45693</v>
      </c>
      <c r="C447" s="1" t="n">
        <v>45706</v>
      </c>
      <c r="D447" t="inlineStr">
        <is>
          <t>ÖSTERGÖTLANDS LÄN</t>
        </is>
      </c>
      <c r="E447" t="inlineStr">
        <is>
          <t>ÖDESHÖG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5591-2025</t>
        </is>
      </c>
      <c r="B448" s="1" t="n">
        <v>45693</v>
      </c>
      <c r="C448" s="1" t="n">
        <v>45706</v>
      </c>
      <c r="D448" t="inlineStr">
        <is>
          <t>ÖSTERGÖTLANDS LÄN</t>
        </is>
      </c>
      <c r="E448" t="inlineStr">
        <is>
          <t>ÖDESHÖG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6212-2025</t>
        </is>
      </c>
      <c r="B449" s="1" t="n">
        <v>45698</v>
      </c>
      <c r="C449" s="1" t="n">
        <v>45706</v>
      </c>
      <c r="D449" t="inlineStr">
        <is>
          <t>ÖSTERGÖTLANDS LÄN</t>
        </is>
      </c>
      <c r="E449" t="inlineStr">
        <is>
          <t>ÖDESHÖG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6487-2025</t>
        </is>
      </c>
      <c r="B450" s="1" t="n">
        <v>45699</v>
      </c>
      <c r="C450" s="1" t="n">
        <v>45706</v>
      </c>
      <c r="D450" t="inlineStr">
        <is>
          <t>ÖSTERGÖTLANDS LÄN</t>
        </is>
      </c>
      <c r="E450" t="inlineStr">
        <is>
          <t>ÖDESHÖG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6506-2025</t>
        </is>
      </c>
      <c r="B451" s="1" t="n">
        <v>45699</v>
      </c>
      <c r="C451" s="1" t="n">
        <v>45706</v>
      </c>
      <c r="D451" t="inlineStr">
        <is>
          <t>ÖSTERGÖTLANDS LÄN</t>
        </is>
      </c>
      <c r="E451" t="inlineStr">
        <is>
          <t>ÖDESHÖG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6368-2025</t>
        </is>
      </c>
      <c r="B452" s="1" t="n">
        <v>45699</v>
      </c>
      <c r="C452" s="1" t="n">
        <v>45706</v>
      </c>
      <c r="D452" t="inlineStr">
        <is>
          <t>ÖSTERGÖTLANDS LÄN</t>
        </is>
      </c>
      <c r="E452" t="inlineStr">
        <is>
          <t>ÖDESHÖG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6375-2025</t>
        </is>
      </c>
      <c r="B453" s="1" t="n">
        <v>45699</v>
      </c>
      <c r="C453" s="1" t="n">
        <v>45706</v>
      </c>
      <c r="D453" t="inlineStr">
        <is>
          <t>ÖSTERGÖTLANDS LÄN</t>
        </is>
      </c>
      <c r="E453" t="inlineStr">
        <is>
          <t>ÖDESHÖG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6456-2025</t>
        </is>
      </c>
      <c r="B454" s="1" t="n">
        <v>45699</v>
      </c>
      <c r="C454" s="1" t="n">
        <v>45706</v>
      </c>
      <c r="D454" t="inlineStr">
        <is>
          <t>ÖSTERGÖTLANDS LÄN</t>
        </is>
      </c>
      <c r="E454" t="inlineStr">
        <is>
          <t>ÖDESHÖG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6512-2025</t>
        </is>
      </c>
      <c r="B455" s="1" t="n">
        <v>45699</v>
      </c>
      <c r="C455" s="1" t="n">
        <v>45706</v>
      </c>
      <c r="D455" t="inlineStr">
        <is>
          <t>ÖSTERGÖTLANDS LÄN</t>
        </is>
      </c>
      <c r="E455" t="inlineStr">
        <is>
          <t>ÖDESHÖG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6421-2025</t>
        </is>
      </c>
      <c r="B456" s="1" t="n">
        <v>45699</v>
      </c>
      <c r="C456" s="1" t="n">
        <v>45706</v>
      </c>
      <c r="D456" t="inlineStr">
        <is>
          <t>ÖSTERGÖTLANDS LÄN</t>
        </is>
      </c>
      <c r="E456" t="inlineStr">
        <is>
          <t>ÖDESHÖG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6465-2025</t>
        </is>
      </c>
      <c r="B457" s="1" t="n">
        <v>45699</v>
      </c>
      <c r="C457" s="1" t="n">
        <v>45706</v>
      </c>
      <c r="D457" t="inlineStr">
        <is>
          <t>ÖSTERGÖTLANDS LÄN</t>
        </is>
      </c>
      <c r="E457" t="inlineStr">
        <is>
          <t>ÖDESHÖG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6484-2025</t>
        </is>
      </c>
      <c r="B458" s="1" t="n">
        <v>45699</v>
      </c>
      <c r="C458" s="1" t="n">
        <v>45706</v>
      </c>
      <c r="D458" t="inlineStr">
        <is>
          <t>ÖSTERGÖTLANDS LÄN</t>
        </is>
      </c>
      <c r="E458" t="inlineStr">
        <is>
          <t>ÖDESHÖG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6517-2025</t>
        </is>
      </c>
      <c r="B459" s="1" t="n">
        <v>45699</v>
      </c>
      <c r="C459" s="1" t="n">
        <v>45706</v>
      </c>
      <c r="D459" t="inlineStr">
        <is>
          <t>ÖSTERGÖTLANDS LÄN</t>
        </is>
      </c>
      <c r="E459" t="inlineStr">
        <is>
          <t>ÖDESHÖG</t>
        </is>
      </c>
      <c r="G459" t="n">
        <v>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6557-2025</t>
        </is>
      </c>
      <c r="B460" s="1" t="n">
        <v>45699</v>
      </c>
      <c r="C460" s="1" t="n">
        <v>45706</v>
      </c>
      <c r="D460" t="inlineStr">
        <is>
          <t>ÖSTERGÖTLANDS LÄN</t>
        </is>
      </c>
      <c r="E460" t="inlineStr">
        <is>
          <t>ÖDESHÖG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6592-2025</t>
        </is>
      </c>
      <c r="B461" s="1" t="n">
        <v>45700</v>
      </c>
      <c r="C461" s="1" t="n">
        <v>45706</v>
      </c>
      <c r="D461" t="inlineStr">
        <is>
          <t>ÖSTERGÖTLANDS LÄN</t>
        </is>
      </c>
      <c r="E461" t="inlineStr">
        <is>
          <t>ÖDESHÖG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7474-2025</t>
        </is>
      </c>
      <c r="B462" s="1" t="n">
        <v>45705</v>
      </c>
      <c r="C462" s="1" t="n">
        <v>45706</v>
      </c>
      <c r="D462" t="inlineStr">
        <is>
          <t>ÖSTERGÖTLANDS LÄN</t>
        </is>
      </c>
      <c r="E462" t="inlineStr">
        <is>
          <t>ÖDESHÖG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7477-2025</t>
        </is>
      </c>
      <c r="B463" s="1" t="n">
        <v>45705</v>
      </c>
      <c r="C463" s="1" t="n">
        <v>45706</v>
      </c>
      <c r="D463" t="inlineStr">
        <is>
          <t>ÖSTERGÖTLANDS LÄN</t>
        </is>
      </c>
      <c r="E463" t="inlineStr">
        <is>
          <t>ÖDESHÖG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2025-02-18T16:19:54Z</dcterms:created>
  <dcterms:modified xmlns:dcterms="http://purl.org/dc/terms/" xmlns:xsi="http://www.w3.org/2001/XMLSchema-instance" xsi:type="dcterms:W3CDTF">2025-02-18T16:19:54Z</dcterms:modified>
</cp:coreProperties>
</file>