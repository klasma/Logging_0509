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46307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46307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46307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46307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46307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46307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46307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46307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46307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46307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46307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58052-2021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46307</v>
      </c>
      <c r="F15" t="inlineStr">
        <is>
          <t>ÖSTERGÖTLANDS LÄN</t>
        </is>
      </c>
      <c r="G15" t="inlineStr">
        <is>
          <t>ÖDESHÖG</t>
        </is>
      </c>
      <c r="H15" t="inlineStr">
        <is>
          <t>Sveaskog</t>
        </is>
      </c>
      <c r="I15" t="n">
        <v>4.3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Granbarkgnagare</t>
        </is>
      </c>
      <c r="W15">
        <f>HYPERLINK("https://klasma.github.io/Logging_0509/artfynd/A 58052-2021 artfynd.xlsx", "A 58052-2021")</f>
        <v/>
      </c>
      <c r="X15">
        <f>HYPERLINK("https://klasma.github.io/Logging_0509/kartor/A 58052-2021 karta.png", "A 58052-2021")</f>
        <v/>
      </c>
      <c r="Y15">
        <f>HYPERLINK("https://klasma.github.io/Logging_0509/kartor_geotiff/A 58052-2021 georefererad karta.tif", "A 58052-2021")</f>
        <v/>
      </c>
      <c r="AA15">
        <f>HYPERLINK("https://klasma.github.io/Logging_0509/klagomål/A 58052-2021 FSC-klagomål.docx", "A 58052-2021")</f>
        <v/>
      </c>
      <c r="AB15">
        <f>HYPERLINK("https://klasma.github.io/Logging_0509/klagomålsmail/A 58052-2021 FSC-klagomål mail.docx", "A 58052-2021")</f>
        <v/>
      </c>
      <c r="AC15">
        <f>HYPERLINK("https://klasma.github.io/Logging_0509/tillsyn/A 58052-2021 tillsynsbegäran.docx", "A 58052-2021")</f>
        <v/>
      </c>
      <c r="AD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46307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32776-2025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45839</v>
      </c>
      <c r="E17" s="1" t="n">
        <v>46307</v>
      </c>
      <c r="F17" t="inlineStr">
        <is>
          <t>ÖSTERGÖTLANDS LÄN</t>
        </is>
      </c>
      <c r="G17" t="inlineStr">
        <is>
          <t>ÖDESHÖG</t>
        </is>
      </c>
      <c r="I17" t="n">
        <v>1.3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Smalsprötad bastardsvärmare</t>
        </is>
      </c>
      <c r="W17">
        <f>HYPERLINK("https://klasma.github.io/Logging_0509/artfynd/A 32776-2025 artfynd.xlsx", "A 32776-2025")</f>
        <v/>
      </c>
      <c r="X17">
        <f>HYPERLINK("https://klasma.github.io/Logging_0509/kartor/A 32776-2025 karta.png", "A 32776-2025")</f>
        <v/>
      </c>
      <c r="Y17">
        <f>HYPERLINK("https://klasma.github.io/Logging_0509/kartor_geotiff/A 32776-2025 georefererad karta.tif", "A 32776-2025")</f>
        <v/>
      </c>
      <c r="AA17">
        <f>HYPERLINK("https://klasma.github.io/Logging_0509/klagomål/A 32776-2025 FSC-klagomål.docx", "A 32776-2025")</f>
        <v/>
      </c>
      <c r="AB17">
        <f>HYPERLINK("https://klasma.github.io/Logging_0509/klagomålsmail/A 32776-2025 FSC-klagomål mail.docx", "A 32776-2025")</f>
        <v/>
      </c>
      <c r="AC17">
        <f>HYPERLINK("https://klasma.github.io/Logging_0509/tillsyn/A 32776-2025 tillsynsbegäran.docx", "A 32776-2025")</f>
        <v/>
      </c>
      <c r="AD17">
        <f>HYPERLINK("https://klasma.github.io/Logging_0509/tillsynsmail/A 32776-2025 tillsynsbegäran mail.docx", "A 32776-2025")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46307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62988-2023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45272</v>
      </c>
      <c r="E19" s="1" t="n">
        <v>46307</v>
      </c>
      <c r="F19" t="inlineStr">
        <is>
          <t>ÖSTERGÖTLANDS LÄN</t>
        </is>
      </c>
      <c r="G19" t="inlineStr">
        <is>
          <t>ÖDESHÖG</t>
        </is>
      </c>
      <c r="H19" t="inlineStr">
        <is>
          <t>Allmännings- och besparingsskogar</t>
        </is>
      </c>
      <c r="I19" t="n">
        <v>19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62988-2023 artfynd.xlsx", "A 62988-2023")</f>
        <v/>
      </c>
      <c r="X19">
        <f>HYPERLINK("https://klasma.github.io/Logging_0509/kartor/A 62988-2023 karta.png", "A 62988-2023")</f>
        <v/>
      </c>
      <c r="Y19">
        <f>HYPERLINK("https://klasma.github.io/Logging_0509/kartor_geotiff/A 62988-2023 georefererad karta.tif", "A 62988-2023")</f>
        <v/>
      </c>
      <c r="AA19">
        <f>HYPERLINK("https://klasma.github.io/Logging_0509/klagomål/A 62988-2023 FSC-klagomål.docx", "A 62988-2023")</f>
        <v/>
      </c>
      <c r="AB19">
        <f>HYPERLINK("https://klasma.github.io/Logging_0509/klagomålsmail/A 62988-2023 FSC-klagomål mail.docx", "A 62988-2023")</f>
        <v/>
      </c>
      <c r="AC19">
        <f>HYPERLINK("https://klasma.github.io/Logging_0509/tillsyn/A 62988-2023 tillsynsbegäran.docx", "A 62988-2023")</f>
        <v/>
      </c>
      <c r="AD19">
        <f>HYPERLINK("https://klasma.github.io/Logging_0509/tillsynsmail/A 62988-2023 tillsynsbegäran mail.docx", "A 62988-2023")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46307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38720-2023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46307</v>
      </c>
      <c r="F21" t="inlineStr">
        <is>
          <t>ÖSTERGÖTLANDS LÄN</t>
        </is>
      </c>
      <c r="G21" t="inlineStr">
        <is>
          <t>ÖDESHÖG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Hässleklocka</t>
        </is>
      </c>
      <c r="W21">
        <f>HYPERLINK("https://klasma.github.io/Logging_0509/artfynd/A 38720-2023 artfynd.xlsx", "A 38720-2023")</f>
        <v/>
      </c>
      <c r="X21">
        <f>HYPERLINK("https://klasma.github.io/Logging_0509/kartor/A 38720-2023 karta.png", "A 38720-2023")</f>
        <v/>
      </c>
      <c r="Y21">
        <f>HYPERLINK("https://klasma.github.io/Logging_0509/kartor_geotiff/A 38720-2023 georefererad karta.tif", "A 38720-2023")</f>
        <v/>
      </c>
      <c r="AA21">
        <f>HYPERLINK("https://klasma.github.io/Logging_0509/klagomål/A 38720-2023 FSC-klagomål.docx", "A 38720-2023")</f>
        <v/>
      </c>
      <c r="AB21">
        <f>HYPERLINK("https://klasma.github.io/Logging_0509/klagomålsmail/A 38720-2023 FSC-klagomål mail.docx", "A 38720-2023")</f>
        <v/>
      </c>
      <c r="AC21">
        <f>HYPERLINK("https://klasma.github.io/Logging_0509/tillsyn/A 38720-2023 tillsynsbegäran.docx", "A 38720-2023")</f>
        <v/>
      </c>
      <c r="AD21">
        <f>HYPERLINK("https://klasma.github.io/Logging_0509/tillsynsmail/A 38720-2023 tillsynsbegäran mail.docx", "A 38720-2023")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46307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46307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46307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46307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46307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46307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46307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46307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46307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62919-2021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44504</v>
      </c>
      <c r="E31" s="1" t="n">
        <v>46307</v>
      </c>
      <c r="F31" t="inlineStr">
        <is>
          <t>ÖSTERGÖTLANDS LÄN</t>
        </is>
      </c>
      <c r="G31" t="inlineStr">
        <is>
          <t>ÖDESHÖG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65821-2021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46307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46307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45065</v>
      </c>
      <c r="E34" s="1" t="n">
        <v>46307</v>
      </c>
      <c r="F34" t="inlineStr">
        <is>
          <t>ÖSTERGÖTLANDS LÄN</t>
        </is>
      </c>
      <c r="G34" t="inlineStr">
        <is>
          <t>ÖDESHÖG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35411-2023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46307</v>
      </c>
      <c r="F35" t="inlineStr">
        <is>
          <t>ÖSTERGÖTLANDS LÄN</t>
        </is>
      </c>
      <c r="G35" t="inlineStr">
        <is>
          <t>ÖDESHÖG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46307</v>
      </c>
      <c r="F36" t="inlineStr">
        <is>
          <t>ÖSTERGÖTLANDS LÄN</t>
        </is>
      </c>
      <c r="G36" t="inlineStr">
        <is>
          <t>ÖDESHÖG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45049</v>
      </c>
      <c r="E37" s="1" t="n">
        <v>46307</v>
      </c>
      <c r="F37" t="inlineStr">
        <is>
          <t>ÖSTERGÖTLANDS LÄN</t>
        </is>
      </c>
      <c r="G37" t="inlineStr">
        <is>
          <t>ÖDESHÖG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45084</v>
      </c>
      <c r="E38" s="1" t="n">
        <v>46307</v>
      </c>
      <c r="F38" t="inlineStr">
        <is>
          <t>ÖSTERGÖTLANDS LÄN</t>
        </is>
      </c>
      <c r="G38" t="inlineStr">
        <is>
          <t>ÖDESHÖG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11699-2024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46307</v>
      </c>
      <c r="F39" t="inlineStr">
        <is>
          <t>ÖSTERGÖTLANDS LÄN</t>
        </is>
      </c>
      <c r="G39" t="inlineStr">
        <is>
          <t>ÖDESHÖG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46307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46307</v>
      </c>
      <c r="F41" t="inlineStr">
        <is>
          <t>ÖSTERGÖTLANDS LÄN</t>
        </is>
      </c>
      <c r="G41" t="inlineStr">
        <is>
          <t>ÖDESHÖG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46307</v>
      </c>
      <c r="F42" t="inlineStr">
        <is>
          <t>ÖSTERGÖTLANDS LÄN</t>
        </is>
      </c>
      <c r="G42" t="inlineStr">
        <is>
          <t>ÖDESHÖG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46307</v>
      </c>
      <c r="F43" t="inlineStr">
        <is>
          <t>ÖSTERGÖTLANDS LÄN</t>
        </is>
      </c>
      <c r="G43" t="inlineStr">
        <is>
          <t>ÖDESHÖG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45203</v>
      </c>
      <c r="E44" s="1" t="n">
        <v>46307</v>
      </c>
      <c r="F44" t="inlineStr">
        <is>
          <t>ÖSTERGÖTLANDS LÄN</t>
        </is>
      </c>
      <c r="G44" t="inlineStr">
        <is>
          <t>ÖDESHÖG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46307</v>
      </c>
      <c r="F45" t="inlineStr">
        <is>
          <t>ÖSTERGÖTLANDS LÄN</t>
        </is>
      </c>
      <c r="G45" t="inlineStr">
        <is>
          <t>ÖDESHÖG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45065</v>
      </c>
      <c r="E46" s="1" t="n">
        <v>46307</v>
      </c>
      <c r="F46" t="inlineStr">
        <is>
          <t>ÖSTERGÖTLANDS LÄN</t>
        </is>
      </c>
      <c r="G46" t="inlineStr">
        <is>
          <t>ÖDESHÖG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45519</v>
      </c>
      <c r="E47" s="1" t="n">
        <v>46307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46307</v>
      </c>
      <c r="F48" t="inlineStr">
        <is>
          <t>ÖSTERGÖTLANDS LÄN</t>
        </is>
      </c>
      <c r="G48" t="inlineStr">
        <is>
          <t>ÖDESHÖG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15813-2022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44664</v>
      </c>
      <c r="E49" s="1" t="n">
        <v>46307</v>
      </c>
      <c r="F49" t="inlineStr">
        <is>
          <t>ÖSTERGÖTLANDS LÄN</t>
        </is>
      </c>
      <c r="G49" t="inlineStr">
        <is>
          <t>ÖDESHÖG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46307</v>
      </c>
      <c r="F50" t="inlineStr">
        <is>
          <t>ÖSTERGÖTLANDS LÄN</t>
        </is>
      </c>
      <c r="G50" t="inlineStr">
        <is>
          <t>ÖDESHÖG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15906-2024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45405</v>
      </c>
      <c r="E51" s="1" t="n">
        <v>46307</v>
      </c>
      <c r="F51" t="inlineStr">
        <is>
          <t>ÖSTERGÖTLANDS LÄN</t>
        </is>
      </c>
      <c r="G51" t="inlineStr">
        <is>
          <t>ÖDESHÖG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46307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46307</v>
      </c>
      <c r="F53" t="inlineStr">
        <is>
          <t>ÖSTERGÖTLANDS LÄN</t>
        </is>
      </c>
      <c r="G53" t="inlineStr">
        <is>
          <t>ÖDESHÖG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46307</v>
      </c>
      <c r="F54" t="inlineStr">
        <is>
          <t>ÖSTERGÖTLANDS LÄN</t>
        </is>
      </c>
      <c r="G54" t="inlineStr">
        <is>
          <t>ÖDESHÖG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44069-2023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46307</v>
      </c>
      <c r="F55" t="inlineStr">
        <is>
          <t>ÖSTERGÖTLANDS LÄN</t>
        </is>
      </c>
      <c r="G55" t="inlineStr">
        <is>
          <t>ÖDESHÖG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46307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46307</v>
      </c>
      <c r="F57" t="inlineStr">
        <is>
          <t>ÖSTERGÖTLANDS LÄN</t>
        </is>
      </c>
      <c r="G57" t="inlineStr">
        <is>
          <t>ÖDESHÖG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46307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45407</v>
      </c>
      <c r="E59" s="1" t="n">
        <v>46307</v>
      </c>
      <c r="F59" t="inlineStr">
        <is>
          <t>ÖSTERGÖTLANDS LÄN</t>
        </is>
      </c>
      <c r="G59" t="inlineStr">
        <is>
          <t>ÖDESHÖG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46307</v>
      </c>
      <c r="F60" t="inlineStr">
        <is>
          <t>ÖSTERGÖTLANDS LÄN</t>
        </is>
      </c>
      <c r="G60" t="inlineStr">
        <is>
          <t>ÖDESHÖG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46307</v>
      </c>
      <c r="F61" t="inlineStr">
        <is>
          <t>ÖSTERGÖTLANDS LÄN</t>
        </is>
      </c>
      <c r="G61" t="inlineStr">
        <is>
          <t>ÖDESHÖG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46307</v>
      </c>
      <c r="F62" t="inlineStr">
        <is>
          <t>ÖSTERGÖTLANDS LÄN</t>
        </is>
      </c>
      <c r="G62" t="inlineStr">
        <is>
          <t>ÖDESHÖG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48325-2022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46307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46307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46307</v>
      </c>
      <c r="F65" t="inlineStr">
        <is>
          <t>ÖSTERGÖTLANDS LÄN</t>
        </is>
      </c>
      <c r="G65" t="inlineStr">
        <is>
          <t>ÖDESHÖG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64802-2021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44512</v>
      </c>
      <c r="E66" s="1" t="n">
        <v>46307</v>
      </c>
      <c r="F66" t="inlineStr">
        <is>
          <t>ÖSTERGÖTLANDS LÄN</t>
        </is>
      </c>
      <c r="G66" t="inlineStr">
        <is>
          <t>ÖDESHÖG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45337</v>
      </c>
      <c r="E67" s="1" t="n">
        <v>46307</v>
      </c>
      <c r="F67" t="inlineStr">
        <is>
          <t>ÖSTERGÖTLANDS LÄN</t>
        </is>
      </c>
      <c r="G67" t="inlineStr">
        <is>
          <t>ÖDESHÖG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46307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46307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45342</v>
      </c>
      <c r="E70" s="1" t="n">
        <v>46307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46307</v>
      </c>
      <c r="F71" t="inlineStr">
        <is>
          <t>ÖSTERGÖTLANDS LÄN</t>
        </is>
      </c>
      <c r="G71" t="inlineStr">
        <is>
          <t>ÖDESHÖG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46307</v>
      </c>
      <c r="F72" t="inlineStr">
        <is>
          <t>ÖSTERGÖTLANDS LÄN</t>
        </is>
      </c>
      <c r="G72" t="inlineStr">
        <is>
          <t>ÖDESHÖG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46307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46307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46307</v>
      </c>
      <c r="F75" t="inlineStr">
        <is>
          <t>ÖSTERGÖTLANDS LÄN</t>
        </is>
      </c>
      <c r="G75" t="inlineStr">
        <is>
          <t>ÖDESHÖG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46307</v>
      </c>
      <c r="F76" t="inlineStr">
        <is>
          <t>ÖSTERGÖTLANDS LÄN</t>
        </is>
      </c>
      <c r="G76" t="inlineStr">
        <is>
          <t>ÖDESHÖG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46307</v>
      </c>
      <c r="F77" t="inlineStr">
        <is>
          <t>ÖSTERGÖTLANDS LÄN</t>
        </is>
      </c>
      <c r="G77" t="inlineStr">
        <is>
          <t>ÖDESHÖG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46307</v>
      </c>
      <c r="F78" t="inlineStr">
        <is>
          <t>ÖSTERGÖTLANDS LÄN</t>
        </is>
      </c>
      <c r="G78" t="inlineStr">
        <is>
          <t>ÖDESHÖG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46307</v>
      </c>
      <c r="F79" t="inlineStr">
        <is>
          <t>ÖSTERGÖTLANDS LÄN</t>
        </is>
      </c>
      <c r="G79" t="inlineStr">
        <is>
          <t>ÖDESHÖG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45471</v>
      </c>
      <c r="E80" s="1" t="n">
        <v>46307</v>
      </c>
      <c r="F80" t="inlineStr">
        <is>
          <t>ÖSTERGÖTLANDS LÄN</t>
        </is>
      </c>
      <c r="G80" t="inlineStr">
        <is>
          <t>ÖDESHÖG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46307</v>
      </c>
      <c r="F81" t="inlineStr">
        <is>
          <t>ÖSTERGÖTLANDS LÄN</t>
        </is>
      </c>
      <c r="G81" t="inlineStr">
        <is>
          <t>ÖDESHÖG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46307</v>
      </c>
      <c r="F82" t="inlineStr">
        <is>
          <t>ÖSTERGÖTLANDS LÄN</t>
        </is>
      </c>
      <c r="G82" t="inlineStr">
        <is>
          <t>ÖDESHÖG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45316</v>
      </c>
      <c r="E83" s="1" t="n">
        <v>46307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46307</v>
      </c>
      <c r="F84" t="inlineStr">
        <is>
          <t>ÖSTERGÖTLANDS LÄN</t>
        </is>
      </c>
      <c r="G84" t="inlineStr">
        <is>
          <t>ÖDESHÖG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45782</v>
      </c>
      <c r="E85" s="1" t="n">
        <v>46307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46307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45203</v>
      </c>
      <c r="E87" s="1" t="n">
        <v>46307</v>
      </c>
      <c r="F87" t="inlineStr">
        <is>
          <t>ÖSTERGÖTLANDS LÄN</t>
        </is>
      </c>
      <c r="G87" t="inlineStr">
        <is>
          <t>ÖDESHÖG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45328</v>
      </c>
      <c r="E88" s="1" t="n">
        <v>46307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46307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46307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46307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46307</v>
      </c>
      <c r="F92" t="inlineStr">
        <is>
          <t>ÖSTERGÖTLANDS LÄN</t>
        </is>
      </c>
      <c r="G92" t="inlineStr">
        <is>
          <t>ÖDESHÖG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45680</v>
      </c>
      <c r="E93" s="1" t="n">
        <v>46307</v>
      </c>
      <c r="F93" t="inlineStr">
        <is>
          <t>ÖSTERGÖTLANDS LÄN</t>
        </is>
      </c>
      <c r="G93" t="inlineStr">
        <is>
          <t>ÖDESHÖG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15909-2024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45405</v>
      </c>
      <c r="E94" s="1" t="n">
        <v>46307</v>
      </c>
      <c r="F94" t="inlineStr">
        <is>
          <t>ÖSTERGÖTLANDS LÄN</t>
        </is>
      </c>
      <c r="G94" t="inlineStr">
        <is>
          <t>ÖDESHÖG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45416</v>
      </c>
      <c r="E95" s="1" t="n">
        <v>46307</v>
      </c>
      <c r="F95" t="inlineStr">
        <is>
          <t>ÖSTERGÖTLANDS LÄN</t>
        </is>
      </c>
      <c r="G95" t="inlineStr">
        <is>
          <t>ÖDESHÖG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45699</v>
      </c>
      <c r="E96" s="1" t="n">
        <v>46307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46307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45331</v>
      </c>
      <c r="E98" s="1" t="n">
        <v>46307</v>
      </c>
      <c r="F98" t="inlineStr">
        <is>
          <t>ÖSTERGÖTLANDS LÄN</t>
        </is>
      </c>
      <c r="G98" t="inlineStr">
        <is>
          <t>ÖDESHÖG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46307</v>
      </c>
      <c r="F99" t="inlineStr">
        <is>
          <t>ÖSTERGÖTLANDS LÄN</t>
        </is>
      </c>
      <c r="G99" t="inlineStr">
        <is>
          <t>ÖDESHÖG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45217</v>
      </c>
      <c r="E100" s="1" t="n">
        <v>46307</v>
      </c>
      <c r="F100" t="inlineStr">
        <is>
          <t>ÖSTERGÖTLANDS LÄN</t>
        </is>
      </c>
      <c r="G100" t="inlineStr">
        <is>
          <t>ÖDESHÖG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45014</v>
      </c>
      <c r="E101" s="1" t="n">
        <v>46307</v>
      </c>
      <c r="F101" t="inlineStr">
        <is>
          <t>ÖSTERGÖTLANDS LÄN</t>
        </is>
      </c>
      <c r="G101" t="inlineStr">
        <is>
          <t>ÖDESHÖG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46307</v>
      </c>
      <c r="F102" t="inlineStr">
        <is>
          <t>ÖSTERGÖTLANDS LÄN</t>
        </is>
      </c>
      <c r="G102" t="inlineStr">
        <is>
          <t>ÖDESHÖG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46307</v>
      </c>
      <c r="F103" t="inlineStr">
        <is>
          <t>ÖSTERGÖTLANDS LÄN</t>
        </is>
      </c>
      <c r="G103" t="inlineStr">
        <is>
          <t>ÖDESHÖG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46307</v>
      </c>
      <c r="F104" t="inlineStr">
        <is>
          <t>ÖSTERGÖTLANDS LÄN</t>
        </is>
      </c>
      <c r="G104" t="inlineStr">
        <is>
          <t>ÖDESHÖG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46307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46307</v>
      </c>
      <c r="F106" t="inlineStr">
        <is>
          <t>ÖSTERGÖTLANDS LÄN</t>
        </is>
      </c>
      <c r="G106" t="inlineStr">
        <is>
          <t>ÖDESHÖG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46307</v>
      </c>
      <c r="F107" t="inlineStr">
        <is>
          <t>ÖSTERGÖTLANDS LÄN</t>
        </is>
      </c>
      <c r="G107" t="inlineStr">
        <is>
          <t>ÖDESHÖG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46528-2024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46307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46307</v>
      </c>
      <c r="F109" t="inlineStr">
        <is>
          <t>ÖSTERGÖTLANDS LÄN</t>
        </is>
      </c>
      <c r="G109" t="inlineStr">
        <is>
          <t>ÖDESHÖG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46307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46307</v>
      </c>
      <c r="F111" t="inlineStr">
        <is>
          <t>ÖSTERGÖTLANDS LÄN</t>
        </is>
      </c>
      <c r="G111" t="inlineStr">
        <is>
          <t>ÖDESHÖG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8256-2023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44974</v>
      </c>
      <c r="E112" s="1" t="n">
        <v>46307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46307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46307</v>
      </c>
      <c r="F114" t="inlineStr">
        <is>
          <t>ÖSTERGÖTLANDS LÄN</t>
        </is>
      </c>
      <c r="G114" t="inlineStr">
        <is>
          <t>ÖDESHÖG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46307</v>
      </c>
      <c r="F115" t="inlineStr">
        <is>
          <t>ÖSTERGÖTLANDS LÄN</t>
        </is>
      </c>
      <c r="G115" t="inlineStr">
        <is>
          <t>ÖDESHÖG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46307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36099-2024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45533</v>
      </c>
      <c r="E117" s="1" t="n">
        <v>46307</v>
      </c>
      <c r="F117" t="inlineStr">
        <is>
          <t>ÖSTERGÖTLANDS LÄN</t>
        </is>
      </c>
      <c r="G117" t="inlineStr">
        <is>
          <t>ÖDESHÖG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39190-2023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45166</v>
      </c>
      <c r="E118" s="1" t="n">
        <v>46307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45027</v>
      </c>
      <c r="E119" s="1" t="n">
        <v>46307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38718-2023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46307</v>
      </c>
      <c r="F120" t="inlineStr">
        <is>
          <t>ÖSTERGÖTLANDS LÄN</t>
        </is>
      </c>
      <c r="G120" t="inlineStr">
        <is>
          <t>ÖDESHÖG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14736-2024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45397</v>
      </c>
      <c r="E121" s="1" t="n">
        <v>46307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46307</v>
      </c>
      <c r="F122" t="inlineStr">
        <is>
          <t>ÖSTERGÖTLANDS LÄN</t>
        </is>
      </c>
      <c r="G122" t="inlineStr">
        <is>
          <t>ÖDESHÖG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46307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46307</v>
      </c>
      <c r="F124" t="inlineStr">
        <is>
          <t>ÖSTERGÖTLANDS LÄN</t>
        </is>
      </c>
      <c r="G124" t="inlineStr">
        <is>
          <t>ÖDESHÖG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46307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46307</v>
      </c>
      <c r="F126" t="inlineStr">
        <is>
          <t>ÖSTERGÖTLANDS LÄN</t>
        </is>
      </c>
      <c r="G126" t="inlineStr">
        <is>
          <t>ÖDESHÖG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46307</v>
      </c>
      <c r="F127" t="inlineStr">
        <is>
          <t>ÖSTERGÖTLANDS LÄN</t>
        </is>
      </c>
      <c r="G127" t="inlineStr">
        <is>
          <t>ÖDESHÖG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46307</v>
      </c>
      <c r="F128" t="inlineStr">
        <is>
          <t>ÖSTERGÖTLANDS LÄN</t>
        </is>
      </c>
      <c r="G128" t="inlineStr">
        <is>
          <t>ÖDESHÖG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46307</v>
      </c>
      <c r="F129" t="inlineStr">
        <is>
          <t>ÖSTERGÖTLANDS LÄN</t>
        </is>
      </c>
      <c r="G129" t="inlineStr">
        <is>
          <t>ÖDESHÖG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46307</v>
      </c>
      <c r="F130" t="inlineStr">
        <is>
          <t>ÖSTERGÖTLANDS LÄN</t>
        </is>
      </c>
      <c r="G130" t="inlineStr">
        <is>
          <t>ÖDESHÖG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46307</v>
      </c>
      <c r="F131" t="inlineStr">
        <is>
          <t>ÖSTERGÖTLANDS LÄN</t>
        </is>
      </c>
      <c r="G131" t="inlineStr">
        <is>
          <t>ÖDESHÖG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46307</v>
      </c>
      <c r="F132" t="inlineStr">
        <is>
          <t>ÖSTERGÖTLANDS LÄN</t>
        </is>
      </c>
      <c r="G132" t="inlineStr">
        <is>
          <t>ÖDESHÖG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46307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46307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43263-2023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45183</v>
      </c>
      <c r="E135" s="1" t="n">
        <v>46307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46307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44700</v>
      </c>
      <c r="E137" s="1" t="n">
        <v>46307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46307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46307</v>
      </c>
      <c r="F139" t="inlineStr">
        <is>
          <t>ÖSTERGÖTLANDS LÄN</t>
        </is>
      </c>
      <c r="G139" t="inlineStr">
        <is>
          <t>ÖDESHÖG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46307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46307</v>
      </c>
      <c r="F141" t="inlineStr">
        <is>
          <t>ÖSTERGÖTLANDS LÄN</t>
        </is>
      </c>
      <c r="G141" t="inlineStr">
        <is>
          <t>ÖDESHÖG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46307</v>
      </c>
      <c r="F142" t="inlineStr">
        <is>
          <t>ÖSTERGÖTLANDS LÄN</t>
        </is>
      </c>
      <c r="G142" t="inlineStr">
        <is>
          <t>ÖDESHÖG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46307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46307</v>
      </c>
      <c r="F144" t="inlineStr">
        <is>
          <t>ÖSTERGÖTLANDS LÄN</t>
        </is>
      </c>
      <c r="G144" t="inlineStr">
        <is>
          <t>ÖDESHÖG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46307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46307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46307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46307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46307</v>
      </c>
      <c r="F149" t="inlineStr">
        <is>
          <t>ÖSTERGÖTLANDS LÄN</t>
        </is>
      </c>
      <c r="G149" t="inlineStr">
        <is>
          <t>ÖDESHÖG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46307</v>
      </c>
      <c r="F150" t="inlineStr">
        <is>
          <t>ÖSTERGÖTLANDS LÄN</t>
        </is>
      </c>
      <c r="G150" t="inlineStr">
        <is>
          <t>ÖDESHÖG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37843-2023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46307</v>
      </c>
      <c r="F151" t="inlineStr">
        <is>
          <t>ÖSTERGÖTLANDS LÄN</t>
        </is>
      </c>
      <c r="G151" t="inlineStr">
        <is>
          <t>ÖDESHÖG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46307</v>
      </c>
      <c r="F152" t="inlineStr">
        <is>
          <t>ÖSTERGÖTLANDS LÄN</t>
        </is>
      </c>
      <c r="G152" t="inlineStr">
        <is>
          <t>ÖDESHÖG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45707</v>
      </c>
      <c r="E153" s="1" t="n">
        <v>46307</v>
      </c>
      <c r="F153" t="inlineStr">
        <is>
          <t>ÖSTERGÖTLANDS LÄN</t>
        </is>
      </c>
      <c r="G153" t="inlineStr">
        <is>
          <t>ÖDESHÖG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46307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46307</v>
      </c>
      <c r="F155" t="inlineStr">
        <is>
          <t>ÖSTERGÖTLANDS LÄN</t>
        </is>
      </c>
      <c r="G155" t="inlineStr">
        <is>
          <t>ÖDESHÖG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46307</v>
      </c>
      <c r="F156" t="inlineStr">
        <is>
          <t>ÖSTERGÖTLANDS LÄN</t>
        </is>
      </c>
      <c r="G156" t="inlineStr">
        <is>
          <t>ÖDESHÖG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46307</v>
      </c>
      <c r="F157" t="inlineStr">
        <is>
          <t>ÖSTERGÖTLANDS LÄN</t>
        </is>
      </c>
      <c r="G157" t="inlineStr">
        <is>
          <t>ÖDESHÖG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46307</v>
      </c>
      <c r="F158" t="inlineStr">
        <is>
          <t>ÖSTERGÖTLANDS LÄN</t>
        </is>
      </c>
      <c r="G158" t="inlineStr">
        <is>
          <t>ÖDESHÖG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46307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45048</v>
      </c>
      <c r="E160" s="1" t="n">
        <v>46307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46307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46307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46307</v>
      </c>
      <c r="F163" t="inlineStr">
        <is>
          <t>ÖSTERGÖTLANDS LÄN</t>
        </is>
      </c>
      <c r="G163" t="inlineStr">
        <is>
          <t>ÖDESHÖG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46307</v>
      </c>
      <c r="F164" t="inlineStr">
        <is>
          <t>ÖSTERGÖTLANDS LÄN</t>
        </is>
      </c>
      <c r="G164" t="inlineStr">
        <is>
          <t>ÖDESHÖG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45027</v>
      </c>
      <c r="E165" s="1" t="n">
        <v>46307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46101</v>
      </c>
      <c r="E166" s="1" t="n">
        <v>46307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46307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46307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46307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46307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46307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46307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46307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46307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46307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46307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46109</v>
      </c>
      <c r="E177" s="1" t="n">
        <v>46307</v>
      </c>
      <c r="F177" t="inlineStr">
        <is>
          <t>ÖSTERGÖTLANDS LÄN</t>
        </is>
      </c>
      <c r="G177" t="inlineStr">
        <is>
          <t>ÖDESHÖG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46109</v>
      </c>
      <c r="E178" s="1" t="n">
        <v>46307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11193-2023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44992</v>
      </c>
      <c r="E179" s="1" t="n">
        <v>46307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46307</v>
      </c>
      <c r="F180" t="inlineStr">
        <is>
          <t>ÖSTERGÖTLANDS LÄN</t>
        </is>
      </c>
      <c r="G180" t="inlineStr">
        <is>
          <t>ÖDESHÖG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46307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46307</v>
      </c>
      <c r="F182" t="inlineStr">
        <is>
          <t>ÖSTERGÖTLANDS LÄN</t>
        </is>
      </c>
      <c r="G182" t="inlineStr">
        <is>
          <t>ÖDESHÖG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46307</v>
      </c>
      <c r="F183" t="inlineStr">
        <is>
          <t>ÖSTERGÖTLANDS LÄN</t>
        </is>
      </c>
      <c r="G183" t="inlineStr">
        <is>
          <t>ÖDESHÖG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46307</v>
      </c>
      <c r="F184" t="inlineStr">
        <is>
          <t>ÖSTERGÖTLANDS LÄN</t>
        </is>
      </c>
      <c r="G184" t="inlineStr">
        <is>
          <t>ÖDESHÖG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46307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46307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46307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15.4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46307</v>
      </c>
      <c r="F188" t="inlineStr">
        <is>
          <t>ÖSTERGÖTLANDS LÄN</t>
        </is>
      </c>
      <c r="G188" t="inlineStr">
        <is>
          <t>ÖDESHÖG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46307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46307</v>
      </c>
      <c r="F190" t="inlineStr">
        <is>
          <t>ÖSTERGÖTLANDS LÄN</t>
        </is>
      </c>
      <c r="G190" t="inlineStr">
        <is>
          <t>ÖDESHÖG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46307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46307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46307</v>
      </c>
      <c r="F193" t="inlineStr">
        <is>
          <t>ÖSTERGÖTLANDS LÄN</t>
        </is>
      </c>
      <c r="G193" t="inlineStr">
        <is>
          <t>ÖDESHÖG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45149</v>
      </c>
      <c r="E194" s="1" t="n">
        <v>46307</v>
      </c>
      <c r="F194" t="inlineStr">
        <is>
          <t>ÖSTERGÖTLANDS LÄN</t>
        </is>
      </c>
      <c r="G194" t="inlineStr">
        <is>
          <t>ÖDESHÖG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46307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46307</v>
      </c>
      <c r="F196" t="inlineStr">
        <is>
          <t>ÖSTERGÖTLANDS LÄN</t>
        </is>
      </c>
      <c r="G196" t="inlineStr">
        <is>
          <t>ÖDESHÖG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46307</v>
      </c>
      <c r="F197" t="inlineStr">
        <is>
          <t>ÖSTERGÖTLANDS LÄN</t>
        </is>
      </c>
      <c r="G197" t="inlineStr">
        <is>
          <t>ÖDESHÖG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46307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46307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46307</v>
      </c>
      <c r="F200" t="inlineStr">
        <is>
          <t>ÖSTERGÖTLANDS LÄN</t>
        </is>
      </c>
      <c r="G200" t="inlineStr">
        <is>
          <t>ÖDESHÖG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46307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21855-2022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46307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72603-2021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46307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46307</v>
      </c>
      <c r="F204" t="inlineStr">
        <is>
          <t>ÖSTERGÖTLANDS LÄN</t>
        </is>
      </c>
      <c r="G204" t="inlineStr">
        <is>
          <t>ÖDESHÖG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46307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45692</v>
      </c>
      <c r="E206" s="1" t="n">
        <v>46307</v>
      </c>
      <c r="F206" t="inlineStr">
        <is>
          <t>ÖSTERGÖTLANDS LÄN</t>
        </is>
      </c>
      <c r="G206" t="inlineStr">
        <is>
          <t>ÖDESHÖG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46307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46307</v>
      </c>
      <c r="F208" t="inlineStr">
        <is>
          <t>ÖSTERGÖTLANDS LÄN</t>
        </is>
      </c>
      <c r="G208" t="inlineStr">
        <is>
          <t>ÖDESHÖG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46307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46307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46307</v>
      </c>
      <c r="F211" t="inlineStr">
        <is>
          <t>ÖSTERGÖTLANDS LÄN</t>
        </is>
      </c>
      <c r="G211" t="inlineStr">
        <is>
          <t>ÖDESHÖG</t>
        </is>
      </c>
      <c r="I211" t="n">
        <v>13.4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46307</v>
      </c>
      <c r="F212" t="inlineStr">
        <is>
          <t>ÖSTERGÖTLANDS LÄN</t>
        </is>
      </c>
      <c r="G212" t="inlineStr">
        <is>
          <t>ÖDESHÖG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46307</v>
      </c>
      <c r="F213" t="inlineStr">
        <is>
          <t>ÖSTERGÖTLANDS LÄN</t>
        </is>
      </c>
      <c r="G213" t="inlineStr">
        <is>
          <t>ÖDESHÖG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46307</v>
      </c>
      <c r="F214" t="inlineStr">
        <is>
          <t>ÖSTERGÖTLANDS LÄN</t>
        </is>
      </c>
      <c r="G214" t="inlineStr">
        <is>
          <t>ÖDESHÖG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61011-2024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45645</v>
      </c>
      <c r="E215" s="1" t="n">
        <v>46307</v>
      </c>
      <c r="F215" t="inlineStr">
        <is>
          <t>ÖSTERGÖTLANDS LÄN</t>
        </is>
      </c>
      <c r="G215" t="inlineStr">
        <is>
          <t>ÖDESHÖG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46307</v>
      </c>
      <c r="F216" t="inlineStr">
        <is>
          <t>ÖSTERGÖTLANDS LÄN</t>
        </is>
      </c>
      <c r="G216" t="inlineStr">
        <is>
          <t>ÖDESHÖG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46307</v>
      </c>
      <c r="F217" t="inlineStr">
        <is>
          <t>ÖSTERGÖTLANDS LÄN</t>
        </is>
      </c>
      <c r="G217" t="inlineStr">
        <is>
          <t>ÖDESHÖG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46307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46307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46307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46307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46307</v>
      </c>
      <c r="F222" t="inlineStr">
        <is>
          <t>ÖSTERGÖTLANDS LÄN</t>
        </is>
      </c>
      <c r="G222" t="inlineStr">
        <is>
          <t>ÖDESHÖG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46307</v>
      </c>
      <c r="F223" t="inlineStr">
        <is>
          <t>ÖSTERGÖTLANDS LÄN</t>
        </is>
      </c>
      <c r="G223" t="inlineStr">
        <is>
          <t>ÖDESHÖG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46199</v>
      </c>
      <c r="E224" s="1" t="n">
        <v>46307</v>
      </c>
      <c r="F224" t="inlineStr">
        <is>
          <t>ÖSTERGÖTLANDS LÄN</t>
        </is>
      </c>
      <c r="G224" t="inlineStr">
        <is>
          <t>ÖDESHÖG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46307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46307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46307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Sveaskog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46307</v>
      </c>
      <c r="F228" t="inlineStr">
        <is>
          <t>ÖSTERGÖTLANDS LÄN</t>
        </is>
      </c>
      <c r="G228" t="inlineStr">
        <is>
          <t>ÖDESHÖG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46220</v>
      </c>
      <c r="E229" s="1" t="n">
        <v>46307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46307</v>
      </c>
      <c r="F230" t="inlineStr">
        <is>
          <t>ÖSTERGÖTLANDS LÄN</t>
        </is>
      </c>
      <c r="G230" t="inlineStr">
        <is>
          <t>ÖDESHÖG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46307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46307</v>
      </c>
      <c r="F232" t="inlineStr">
        <is>
          <t>ÖSTERGÖTLANDS LÄN</t>
        </is>
      </c>
      <c r="G232" t="inlineStr">
        <is>
          <t>ÖDESHÖG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46289</v>
      </c>
      <c r="E233" s="1" t="n">
        <v>46307</v>
      </c>
      <c r="F233" t="inlineStr">
        <is>
          <t>ÖSTERGÖTLANDS LÄN</t>
        </is>
      </c>
      <c r="G233" t="inlineStr">
        <is>
          <t>ÖDESHÖG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46307</v>
      </c>
      <c r="F234" t="inlineStr">
        <is>
          <t>ÖSTERGÖTLANDS LÄN</t>
        </is>
      </c>
      <c r="G234" t="inlineStr">
        <is>
          <t>ÖDESHÖG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46307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46307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2026-10-12T02:01:49Z</dcterms:created>
  <dcterms:modified xmlns:dcterms="http://purl.org/dc/terms/" xmlns:xsi="http://www.w3.org/2001/XMLSchema-instance" xsi:type="dcterms:W3CDTF">2026-10-12T02:01:49Z</dcterms:modified>
</cp:coreProperties>
</file>