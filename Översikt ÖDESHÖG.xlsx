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46311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46311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46311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46311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46311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46311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46311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46311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62988-2023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46311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62988-2023 artfynd.xlsx", "A 62988-2023")</f>
        <v/>
      </c>
      <c r="X12">
        <f>HYPERLINK("https://klasma.github.io/Logging_0509/kartor/A 62988-2023 karta.png", "A 62988-2023")</f>
        <v/>
      </c>
      <c r="Y12">
        <f>HYPERLINK("https://klasma.github.io/Logging_0509/kartor_geotiff/A 62988-2023 georefererad karta.tif", "A 62988-2023")</f>
        <v/>
      </c>
      <c r="AA12">
        <f>HYPERLINK("https://klasma.github.io/Logging_0509/klagomål/A 62988-2023 FSC-klagomål.docx", "A 62988-2023")</f>
        <v/>
      </c>
      <c r="AB12">
        <f>HYPERLINK("https://klasma.github.io/Logging_0509/klagomålsmail/A 62988-2023 FSC-klagomål mail.docx", "A 62988-2023")</f>
        <v/>
      </c>
      <c r="AC12">
        <f>HYPERLINK("https://klasma.github.io/Logging_0509/tillsyn/A 62988-2023 tillsynsbegäran.docx", "A 62988-2023")</f>
        <v/>
      </c>
      <c r="AD12">
        <f>HYPERLINK("https://klasma.github.io/Logging_0509/tillsynsmail/A 62988-2023 tillsynsbegäran mail.docx", "A 62988-2023")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46311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46311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4772-2022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44592</v>
      </c>
      <c r="E15" s="1" t="n">
        <v>46311</v>
      </c>
      <c r="F15" t="inlineStr">
        <is>
          <t>ÖSTERGÖTLANDS LÄN</t>
        </is>
      </c>
      <c r="G15" t="inlineStr">
        <is>
          <t>ÖDESHÖG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HYPERLINK("https://klasma.github.io/Logging_0509/artfynd/A 4772-2022 artfynd.xlsx", "A 4772-2022")</f>
        <v/>
      </c>
      <c r="X15">
        <f>HYPERLINK("https://klasma.github.io/Logging_0509/kartor/A 4772-2022 karta.png", "A 4772-2022")</f>
        <v/>
      </c>
      <c r="Y15">
        <f>HYPERLINK("https://klasma.github.io/Logging_0509/kartor_geotiff/A 4772-2022 georefererad karta.tif", "A 4772-2022")</f>
        <v/>
      </c>
      <c r="AA15">
        <f>HYPERLINK("https://klasma.github.io/Logging_0509/klagomål/A 4772-2022 FSC-klagomål.docx", "A 4772-2022")</f>
        <v/>
      </c>
      <c r="AB15">
        <f>HYPERLINK("https://klasma.github.io/Logging_0509/klagomålsmail/A 4772-2022 FSC-klagomål mail.docx", "A 4772-2022")</f>
        <v/>
      </c>
      <c r="AC15">
        <f>HYPERLINK("https://klasma.github.io/Logging_0509/tillsyn/A 4772-2022 tillsynsbegäran.docx", "A 4772-2022")</f>
        <v/>
      </c>
      <c r="AD15">
        <f>HYPERLINK("https://klasma.github.io/Logging_0509/tillsynsmail/A 4772-2022 tillsynsbegäran mail.docx", "A 4772-2022")</f>
        <v/>
      </c>
    </row>
    <row r="16" ht="15" customHeight="1">
      <c r="A16" t="inlineStr">
        <is>
          <t>A 58052-2021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46311</v>
      </c>
      <c r="F16" t="inlineStr">
        <is>
          <t>ÖSTERGÖTLANDS LÄN</t>
        </is>
      </c>
      <c r="G16" t="inlineStr">
        <is>
          <t>ÖDESHÖG</t>
        </is>
      </c>
      <c r="H16" t="inlineStr">
        <is>
          <t>Sveaskog</t>
        </is>
      </c>
      <c r="I16" t="n">
        <v>4.3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Granbarkgnagare</t>
        </is>
      </c>
      <c r="W16">
        <f>HYPERLINK("https://klasma.github.io/Logging_0509/artfynd/A 58052-2021 artfynd.xlsx", "A 58052-2021")</f>
        <v/>
      </c>
      <c r="X16">
        <f>HYPERLINK("https://klasma.github.io/Logging_0509/kartor/A 58052-2021 karta.png", "A 58052-2021")</f>
        <v/>
      </c>
      <c r="Y16">
        <f>HYPERLINK("https://klasma.github.io/Logging_0509/kartor_geotiff/A 58052-2021 georefererad karta.tif", "A 58052-2021")</f>
        <v/>
      </c>
      <c r="AA16">
        <f>HYPERLINK("https://klasma.github.io/Logging_0509/klagomål/A 58052-2021 FSC-klagomål.docx", "A 58052-2021")</f>
        <v/>
      </c>
      <c r="AB16">
        <f>HYPERLINK("https://klasma.github.io/Logging_0509/klagomålsmail/A 58052-2021 FSC-klagomål mail.docx", "A 58052-2021")</f>
        <v/>
      </c>
      <c r="AC16">
        <f>HYPERLINK("https://klasma.github.io/Logging_0509/tillsyn/A 58052-2021 tillsynsbegäran.docx", "A 58052-2021")</f>
        <v/>
      </c>
      <c r="AD16">
        <f>HYPERLINK("https://klasma.github.io/Logging_0509/tillsynsmail/A 58052-2021 tillsynsbegäran mail.docx", "A 58052-2021")</f>
        <v/>
      </c>
    </row>
    <row r="17" ht="15" customHeight="1">
      <c r="A17" t="inlineStr">
        <is>
          <t>A 58551-2023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45251</v>
      </c>
      <c r="E17" s="1" t="n">
        <v>46311</v>
      </c>
      <c r="F17" t="inlineStr">
        <is>
          <t>ÖSTERGÖTLANDS LÄN</t>
        </is>
      </c>
      <c r="G17" t="inlineStr">
        <is>
          <t>ÖDESHÖG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HYPERLINK("https://klasma.github.io/Logging_0509/artfynd/A 58551-2023 artfynd.xlsx", "A 58551-2023")</f>
        <v/>
      </c>
      <c r="X17">
        <f>HYPERLINK("https://klasma.github.io/Logging_0509/kartor/A 58551-2023 karta.png", "A 58551-2023")</f>
        <v/>
      </c>
      <c r="Y17">
        <f>HYPERLINK("https://klasma.github.io/Logging_0509/kartor_geotiff/A 58551-2023 georefererad karta.tif", "A 58551-2023")</f>
        <v/>
      </c>
      <c r="AA17">
        <f>HYPERLINK("https://klasma.github.io/Logging_0509/klagomål/A 58551-2023 FSC-klagomål.docx", "A 58551-2023")</f>
        <v/>
      </c>
      <c r="AB17">
        <f>HYPERLINK("https://klasma.github.io/Logging_0509/klagomålsmail/A 58551-2023 FSC-klagomål mail.docx", "A 58551-2023")</f>
        <v/>
      </c>
      <c r="AC17">
        <f>HYPERLINK("https://klasma.github.io/Logging_0509/tillsyn/A 58551-2023 tillsynsbegäran.docx", "A 58551-2023")</f>
        <v/>
      </c>
      <c r="AD17">
        <f>HYPERLINK("https://klasma.github.io/Logging_0509/tillsynsmail/A 58551-2023 tillsynsbegäran mail.docx", "A 58551-2023")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46311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46311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38720-2023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46311</v>
      </c>
      <c r="F20" t="inlineStr">
        <is>
          <t>ÖSTERGÖTLANDS LÄN</t>
        </is>
      </c>
      <c r="G20" t="inlineStr">
        <is>
          <t>ÖDESHÖG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Hässleklocka</t>
        </is>
      </c>
      <c r="W20">
        <f>HYPERLINK("https://klasma.github.io/Logging_0509/artfynd/A 38720-2023 artfynd.xlsx", "A 38720-2023")</f>
        <v/>
      </c>
      <c r="X20">
        <f>HYPERLINK("https://klasma.github.io/Logging_0509/kartor/A 38720-2023 karta.png", "A 38720-2023")</f>
        <v/>
      </c>
      <c r="Y20">
        <f>HYPERLINK("https://klasma.github.io/Logging_0509/kartor_geotiff/A 38720-2023 georefererad karta.tif", "A 38720-2023")</f>
        <v/>
      </c>
      <c r="AA20">
        <f>HYPERLINK("https://klasma.github.io/Logging_0509/klagomål/A 38720-2023 FSC-klagomål.docx", "A 38720-2023")</f>
        <v/>
      </c>
      <c r="AB20">
        <f>HYPERLINK("https://klasma.github.io/Logging_0509/klagomålsmail/A 38720-2023 FSC-klagomål mail.docx", "A 38720-2023")</f>
        <v/>
      </c>
      <c r="AC20">
        <f>HYPERLINK("https://klasma.github.io/Logging_0509/tillsyn/A 38720-2023 tillsynsbegäran.docx", "A 38720-2023")</f>
        <v/>
      </c>
      <c r="AD20">
        <f>HYPERLINK("https://klasma.github.io/Logging_0509/tillsynsmail/A 38720-2023 tillsynsbegäran mail.docx", "A 38720-2023")</f>
        <v/>
      </c>
    </row>
    <row r="21" ht="15" customHeight="1">
      <c r="A21" t="inlineStr">
        <is>
          <t>A 32713-2024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45516</v>
      </c>
      <c r="E21" s="1" t="n">
        <v>46311</v>
      </c>
      <c r="F21" t="inlineStr">
        <is>
          <t>ÖSTERGÖTLANDS LÄN</t>
        </is>
      </c>
      <c r="G21" t="inlineStr">
        <is>
          <t>ÖDESHÖG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Kristinspindling</t>
        </is>
      </c>
      <c r="W21">
        <f>HYPERLINK("https://klasma.github.io/Logging_0509/artfynd/A 32713-2024 artfynd.xlsx", "A 32713-2024")</f>
        <v/>
      </c>
      <c r="X21">
        <f>HYPERLINK("https://klasma.github.io/Logging_0509/kartor/A 32713-2024 karta.png", "A 32713-2024")</f>
        <v/>
      </c>
      <c r="Y21">
        <f>HYPERLINK("https://klasma.github.io/Logging_0509/kartor_geotiff/A 32713-2024 georefererad karta.tif", "A 32713-2024")</f>
        <v/>
      </c>
      <c r="AA21">
        <f>HYPERLINK("https://klasma.github.io/Logging_0509/klagomål/A 32713-2024 FSC-klagomål.docx", "A 32713-2024")</f>
        <v/>
      </c>
      <c r="AB21">
        <f>HYPERLINK("https://klasma.github.io/Logging_0509/klagomålsmail/A 32713-2024 FSC-klagomål mail.docx", "A 32713-2024")</f>
        <v/>
      </c>
      <c r="AC21">
        <f>HYPERLINK("https://klasma.github.io/Logging_0509/tillsyn/A 32713-2024 tillsynsbegäran.docx", "A 32713-2024")</f>
        <v/>
      </c>
      <c r="AD21">
        <f>HYPERLINK("https://klasma.github.io/Logging_0509/tillsynsmail/A 32713-2024 tillsynsbegäran mail.docx", "A 32713-2024")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46311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46311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46311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46311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46311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46311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46311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46311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46311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46311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46311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55971-2023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46311</v>
      </c>
      <c r="F33" t="inlineStr">
        <is>
          <t>ÖSTERGÖTLANDS LÄN</t>
        </is>
      </c>
      <c r="G33" t="inlineStr">
        <is>
          <t>ÖDESHÖG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45113</v>
      </c>
      <c r="E34" s="1" t="n">
        <v>46311</v>
      </c>
      <c r="F34" t="inlineStr">
        <is>
          <t>ÖSTERGÖTLANDS LÄN</t>
        </is>
      </c>
      <c r="G34" t="inlineStr">
        <is>
          <t>ÖDESHÖG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46311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46311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46311</v>
      </c>
      <c r="F37" t="inlineStr">
        <is>
          <t>ÖSTERGÖTLANDS LÄN</t>
        </is>
      </c>
      <c r="G37" t="inlineStr">
        <is>
          <t>ÖDESHÖG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44796</v>
      </c>
      <c r="E38" s="1" t="n">
        <v>46311</v>
      </c>
      <c r="F38" t="inlineStr">
        <is>
          <t>ÖSTERGÖTLANDS LÄN</t>
        </is>
      </c>
      <c r="G38" t="inlineStr">
        <is>
          <t>ÖDESHÖG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46311</v>
      </c>
      <c r="F39" t="inlineStr">
        <is>
          <t>ÖSTERGÖTLANDS LÄN</t>
        </is>
      </c>
      <c r="G39" t="inlineStr">
        <is>
          <t>ÖDESHÖG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46311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45065</v>
      </c>
      <c r="E41" s="1" t="n">
        <v>46311</v>
      </c>
      <c r="F41" t="inlineStr">
        <is>
          <t>ÖSTERGÖTLANDS LÄN</t>
        </is>
      </c>
      <c r="G41" t="inlineStr">
        <is>
          <t>ÖDESHÖG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19351-2023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45049</v>
      </c>
      <c r="E42" s="1" t="n">
        <v>46311</v>
      </c>
      <c r="F42" t="inlineStr">
        <is>
          <t>ÖSTERGÖTLANDS LÄN</t>
        </is>
      </c>
      <c r="G42" t="inlineStr">
        <is>
          <t>ÖDESHÖG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46311</v>
      </c>
      <c r="F43" t="inlineStr">
        <is>
          <t>ÖSTERGÖTLANDS LÄN</t>
        </is>
      </c>
      <c r="G43" t="inlineStr">
        <is>
          <t>ÖDESHÖG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46311</v>
      </c>
      <c r="F44" t="inlineStr">
        <is>
          <t>ÖSTERGÖTLANDS LÄN</t>
        </is>
      </c>
      <c r="G44" t="inlineStr">
        <is>
          <t>ÖDESHÖG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46311</v>
      </c>
      <c r="F45" t="inlineStr">
        <is>
          <t>ÖSTERGÖTLANDS LÄN</t>
        </is>
      </c>
      <c r="G45" t="inlineStr">
        <is>
          <t>ÖDESHÖG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46311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45065</v>
      </c>
      <c r="E47" s="1" t="n">
        <v>46311</v>
      </c>
      <c r="F47" t="inlineStr">
        <is>
          <t>ÖSTERGÖTLANDS LÄN</t>
        </is>
      </c>
      <c r="G47" t="inlineStr">
        <is>
          <t>ÖDESHÖG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46311</v>
      </c>
      <c r="F48" t="inlineStr">
        <is>
          <t>ÖSTERGÖTLANDS LÄN</t>
        </is>
      </c>
      <c r="G48" t="inlineStr">
        <is>
          <t>ÖDESHÖG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46311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30389-2024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46311</v>
      </c>
      <c r="F50" t="inlineStr">
        <is>
          <t>ÖSTERGÖTLANDS LÄN</t>
        </is>
      </c>
      <c r="G50" t="inlineStr">
        <is>
          <t>ÖDESHÖG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46311</v>
      </c>
      <c r="F51" t="inlineStr">
        <is>
          <t>ÖSTERGÖTLANDS LÄN</t>
        </is>
      </c>
      <c r="G51" t="inlineStr">
        <is>
          <t>ÖDESHÖG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48325-2022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44858</v>
      </c>
      <c r="E52" s="1" t="n">
        <v>46311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46311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46311</v>
      </c>
      <c r="F54" t="inlineStr">
        <is>
          <t>ÖSTERGÖTLANDS LÄN</t>
        </is>
      </c>
      <c r="G54" t="inlineStr">
        <is>
          <t>ÖDESHÖG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64802-2021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44512</v>
      </c>
      <c r="E55" s="1" t="n">
        <v>46311</v>
      </c>
      <c r="F55" t="inlineStr">
        <is>
          <t>ÖSTERGÖTLANDS LÄN</t>
        </is>
      </c>
      <c r="G55" t="inlineStr">
        <is>
          <t>ÖDESHÖG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45337</v>
      </c>
      <c r="E56" s="1" t="n">
        <v>46311</v>
      </c>
      <c r="F56" t="inlineStr">
        <is>
          <t>ÖSTERGÖTLANDS LÄN</t>
        </is>
      </c>
      <c r="G56" t="inlineStr">
        <is>
          <t>ÖDESHÖG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5819-2024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45335</v>
      </c>
      <c r="E57" s="1" t="n">
        <v>46311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46311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8.300000000000001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46311</v>
      </c>
      <c r="F59" t="inlineStr">
        <is>
          <t>ÖSTERGÖTLANDS LÄN</t>
        </is>
      </c>
      <c r="G59" t="inlineStr">
        <is>
          <t>ÖDESHÖG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46311</v>
      </c>
      <c r="F60" t="inlineStr">
        <is>
          <t>ÖSTERGÖTLANDS LÄN</t>
        </is>
      </c>
      <c r="G60" t="inlineStr">
        <is>
          <t>ÖDESHÖG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44936</v>
      </c>
      <c r="E61" s="1" t="n">
        <v>46311</v>
      </c>
      <c r="F61" t="inlineStr">
        <is>
          <t>ÖSTERGÖTLANDS LÄN</t>
        </is>
      </c>
      <c r="G61" t="inlineStr">
        <is>
          <t>ÖDESHÖG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45512</v>
      </c>
      <c r="E62" s="1" t="n">
        <v>46311</v>
      </c>
      <c r="F62" t="inlineStr">
        <is>
          <t>ÖSTERGÖTLANDS LÄN</t>
        </is>
      </c>
      <c r="G62" t="inlineStr">
        <is>
          <t>ÖDESHÖG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61880-2021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46311</v>
      </c>
      <c r="F63" t="inlineStr">
        <is>
          <t>ÖSTERGÖTLANDS LÄN</t>
        </is>
      </c>
      <c r="G63" t="inlineStr">
        <is>
          <t>ÖDESHÖG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45491</v>
      </c>
      <c r="E64" s="1" t="n">
        <v>46311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46311</v>
      </c>
      <c r="F65" t="inlineStr">
        <is>
          <t>ÖSTERGÖTLANDS LÄN</t>
        </is>
      </c>
      <c r="G65" t="inlineStr">
        <is>
          <t>ÖDESHÖG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46311</v>
      </c>
      <c r="F66" t="inlineStr">
        <is>
          <t>ÖSTERGÖTLANDS LÄN</t>
        </is>
      </c>
      <c r="G66" t="inlineStr">
        <is>
          <t>ÖDESHÖG</t>
        </is>
      </c>
      <c r="H66" t="inlineStr">
        <is>
          <t>Allmännings- och besparingsskogar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45316</v>
      </c>
      <c r="E67" s="1" t="n">
        <v>46311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47597-2023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46311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27087-2024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45471</v>
      </c>
      <c r="E69" s="1" t="n">
        <v>46311</v>
      </c>
      <c r="F69" t="inlineStr">
        <is>
          <t>ÖSTERGÖTLANDS LÄN</t>
        </is>
      </c>
      <c r="G69" t="inlineStr">
        <is>
          <t>ÖDESHÖG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15907-2024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45405</v>
      </c>
      <c r="E70" s="1" t="n">
        <v>46311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15915-2024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45405</v>
      </c>
      <c r="E71" s="1" t="n">
        <v>46311</v>
      </c>
      <c r="F71" t="inlineStr">
        <is>
          <t>ÖSTERGÖTLANDS LÄN</t>
        </is>
      </c>
      <c r="G71" t="inlineStr">
        <is>
          <t>ÖDESHÖG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45553</v>
      </c>
      <c r="E72" s="1" t="n">
        <v>46311</v>
      </c>
      <c r="F72" t="inlineStr">
        <is>
          <t>ÖSTERGÖTLANDS LÄN</t>
        </is>
      </c>
      <c r="G72" t="inlineStr">
        <is>
          <t>ÖDESHÖG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46311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14617-2026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46101</v>
      </c>
      <c r="E74" s="1" t="n">
        <v>46311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46311</v>
      </c>
      <c r="F75" t="inlineStr">
        <is>
          <t>ÖSTERGÖTLANDS LÄN</t>
        </is>
      </c>
      <c r="G75" t="inlineStr">
        <is>
          <t>ÖDESHÖG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45416</v>
      </c>
      <c r="E76" s="1" t="n">
        <v>46311</v>
      </c>
      <c r="F76" t="inlineStr">
        <is>
          <t>ÖSTERGÖTLANDS LÄN</t>
        </is>
      </c>
      <c r="G76" t="inlineStr">
        <is>
          <t>ÖDESHÖG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46311</v>
      </c>
      <c r="F77" t="inlineStr">
        <is>
          <t>ÖSTERGÖTLANDS LÄN</t>
        </is>
      </c>
      <c r="G77" t="inlineStr">
        <is>
          <t>ÖDESHÖG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46311</v>
      </c>
      <c r="F78" t="inlineStr">
        <is>
          <t>ÖSTERGÖTLANDS LÄN</t>
        </is>
      </c>
      <c r="G78" t="inlineStr">
        <is>
          <t>ÖDESHÖG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46311</v>
      </c>
      <c r="F79" t="inlineStr">
        <is>
          <t>ÖSTERGÖTLANDS LÄN</t>
        </is>
      </c>
      <c r="G79" t="inlineStr">
        <is>
          <t>ÖDESHÖG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45331</v>
      </c>
      <c r="E80" s="1" t="n">
        <v>46311</v>
      </c>
      <c r="F80" t="inlineStr">
        <is>
          <t>ÖSTERGÖTLANDS LÄN</t>
        </is>
      </c>
      <c r="G80" t="inlineStr">
        <is>
          <t>ÖDESHÖG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46311</v>
      </c>
      <c r="F81" t="inlineStr">
        <is>
          <t>ÖSTERGÖTLANDS LÄN</t>
        </is>
      </c>
      <c r="G81" t="inlineStr">
        <is>
          <t>ÖDESHÖG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45014</v>
      </c>
      <c r="E82" s="1" t="n">
        <v>46311</v>
      </c>
      <c r="F82" t="inlineStr">
        <is>
          <t>ÖSTERGÖTLANDS LÄN</t>
        </is>
      </c>
      <c r="G82" t="inlineStr">
        <is>
          <t>ÖDESHÖG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46311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46311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46311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15909-2024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45405</v>
      </c>
      <c r="E86" s="1" t="n">
        <v>46311</v>
      </c>
      <c r="F86" t="inlineStr">
        <is>
          <t>ÖSTERGÖTLANDS LÄN</t>
        </is>
      </c>
      <c r="G86" t="inlineStr">
        <is>
          <t>ÖDESHÖG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16370-2026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46311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45009</v>
      </c>
      <c r="E88" s="1" t="n">
        <v>46311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46311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45512</v>
      </c>
      <c r="E90" s="1" t="n">
        <v>46311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45582</v>
      </c>
      <c r="E91" s="1" t="n">
        <v>46311</v>
      </c>
      <c r="F91" t="inlineStr">
        <is>
          <t>ÖSTERGÖTLANDS LÄN</t>
        </is>
      </c>
      <c r="G91" t="inlineStr">
        <is>
          <t>ÖDESHÖG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16259-2026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46311</v>
      </c>
      <c r="F92" t="inlineStr">
        <is>
          <t>ÖSTERGÖTLANDS LÄN</t>
        </is>
      </c>
      <c r="G92" t="inlineStr">
        <is>
          <t>ÖDESHÖG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46109</v>
      </c>
      <c r="E93" s="1" t="n">
        <v>46311</v>
      </c>
      <c r="F93" t="inlineStr">
        <is>
          <t>ÖSTERGÖTLANDS LÄN</t>
        </is>
      </c>
      <c r="G93" t="inlineStr">
        <is>
          <t>ÖDESHÖG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8256-2023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44974</v>
      </c>
      <c r="E94" s="1" t="n">
        <v>46311</v>
      </c>
      <c r="F94" t="inlineStr">
        <is>
          <t>ÖSTERGÖTLANDS LÄN</t>
        </is>
      </c>
      <c r="G94" t="inlineStr">
        <is>
          <t>ÖDESHÖG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17950-2026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46122</v>
      </c>
      <c r="E95" s="1" t="n">
        <v>46311</v>
      </c>
      <c r="F95" t="inlineStr">
        <is>
          <t>ÖSTERGÖTLANDS LÄN</t>
        </is>
      </c>
      <c r="G95" t="inlineStr">
        <is>
          <t>ÖDESHÖG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46311</v>
      </c>
      <c r="F96" t="inlineStr">
        <is>
          <t>ÖSTERGÖTLANDS LÄN</t>
        </is>
      </c>
      <c r="G96" t="inlineStr">
        <is>
          <t>ÖDESHÖG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45533</v>
      </c>
      <c r="E97" s="1" t="n">
        <v>46311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14736-2024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45397</v>
      </c>
      <c r="E98" s="1" t="n">
        <v>46311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46311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44698</v>
      </c>
      <c r="E100" s="1" t="n">
        <v>46311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46311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39190-2023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45166</v>
      </c>
      <c r="E102" s="1" t="n">
        <v>46311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45027</v>
      </c>
      <c r="E103" s="1" t="n">
        <v>46311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45163</v>
      </c>
      <c r="E104" s="1" t="n">
        <v>46311</v>
      </c>
      <c r="F104" t="inlineStr">
        <is>
          <t>ÖSTERGÖTLANDS LÄN</t>
        </is>
      </c>
      <c r="G104" t="inlineStr">
        <is>
          <t>ÖDESHÖG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46311</v>
      </c>
      <c r="F105" t="inlineStr">
        <is>
          <t>ÖSTERGÖTLANDS LÄN</t>
        </is>
      </c>
      <c r="G105" t="inlineStr">
        <is>
          <t>ÖDESHÖG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46311</v>
      </c>
      <c r="F106" t="inlineStr">
        <is>
          <t>ÖSTERGÖTLANDS LÄN</t>
        </is>
      </c>
      <c r="G106" t="inlineStr">
        <is>
          <t>ÖDESHÖG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46311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46311</v>
      </c>
      <c r="F108" t="inlineStr">
        <is>
          <t>ÖSTERGÖTLANDS LÄN</t>
        </is>
      </c>
      <c r="G108" t="inlineStr">
        <is>
          <t>ÖDESHÖG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46311</v>
      </c>
      <c r="F109" t="inlineStr">
        <is>
          <t>ÖSTERGÖTLANDS LÄN</t>
        </is>
      </c>
      <c r="G109" t="inlineStr">
        <is>
          <t>ÖDESHÖG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46311</v>
      </c>
      <c r="F110" t="inlineStr">
        <is>
          <t>ÖSTERGÖTLANDS LÄN</t>
        </is>
      </c>
      <c r="G110" t="inlineStr">
        <is>
          <t>ÖDESHÖG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46311</v>
      </c>
      <c r="F111" t="inlineStr">
        <is>
          <t>ÖSTERGÖTLANDS LÄN</t>
        </is>
      </c>
      <c r="G111" t="inlineStr">
        <is>
          <t>ÖDESHÖG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46311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46024</v>
      </c>
      <c r="E113" s="1" t="n">
        <v>46311</v>
      </c>
      <c r="F113" t="inlineStr">
        <is>
          <t>ÖSTERGÖTLANDS LÄN</t>
        </is>
      </c>
      <c r="G113" t="inlineStr">
        <is>
          <t>ÖDESHÖG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46311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46311</v>
      </c>
      <c r="F115" t="inlineStr">
        <is>
          <t>ÖSTERGÖTLANDS LÄN</t>
        </is>
      </c>
      <c r="G115" t="inlineStr">
        <is>
          <t>ÖDESHÖG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46311</v>
      </c>
      <c r="F116" t="inlineStr">
        <is>
          <t>ÖSTERGÖTLANDS LÄN</t>
        </is>
      </c>
      <c r="G116" t="inlineStr">
        <is>
          <t>ÖDESHÖG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45183</v>
      </c>
      <c r="E117" s="1" t="n">
        <v>46311</v>
      </c>
      <c r="F117" t="inlineStr">
        <is>
          <t>ÖSTERGÖTLANDS LÄN</t>
        </is>
      </c>
      <c r="G117" t="inlineStr">
        <is>
          <t>ÖDESHÖG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46311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9.5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44700</v>
      </c>
      <c r="E119" s="1" t="n">
        <v>46311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8.9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46311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14993-2023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46311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46311</v>
      </c>
      <c r="F122" t="inlineStr">
        <is>
          <t>ÖSTERGÖTLANDS LÄN</t>
        </is>
      </c>
      <c r="G122" t="inlineStr">
        <is>
          <t>ÖDESHÖG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52469-2023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45225</v>
      </c>
      <c r="E123" s="1" t="n">
        <v>46311</v>
      </c>
      <c r="F123" t="inlineStr">
        <is>
          <t>ÖSTERGÖTLANDS LÄN</t>
        </is>
      </c>
      <c r="G123" t="inlineStr">
        <is>
          <t>ÖDESHÖG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46311</v>
      </c>
      <c r="F124" t="inlineStr">
        <is>
          <t>ÖSTERGÖTLANDS LÄN</t>
        </is>
      </c>
      <c r="G124" t="inlineStr">
        <is>
          <t>ÖDESHÖG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46311</v>
      </c>
      <c r="F125" t="inlineStr">
        <is>
          <t>ÖSTERGÖTLANDS LÄN</t>
        </is>
      </c>
      <c r="G125" t="inlineStr">
        <is>
          <t>ÖDESHÖG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46311</v>
      </c>
      <c r="F126" t="inlineStr">
        <is>
          <t>ÖSTERGÖTLANDS LÄN</t>
        </is>
      </c>
      <c r="G126" t="inlineStr">
        <is>
          <t>ÖDESHÖG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45748</v>
      </c>
      <c r="E127" s="1" t="n">
        <v>46311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46311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46311</v>
      </c>
      <c r="F129" t="inlineStr">
        <is>
          <t>ÖSTERGÖTLANDS LÄN</t>
        </is>
      </c>
      <c r="G129" t="inlineStr">
        <is>
          <t>ÖDESHÖG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44613</v>
      </c>
      <c r="E130" s="1" t="n">
        <v>46311</v>
      </c>
      <c r="F130" t="inlineStr">
        <is>
          <t>ÖSTERGÖTLANDS LÄN</t>
        </is>
      </c>
      <c r="G130" t="inlineStr">
        <is>
          <t>ÖDESHÖG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38723-2023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46311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46311</v>
      </c>
      <c r="F132" t="inlineStr">
        <is>
          <t>ÖSTERGÖTLANDS LÄN</t>
        </is>
      </c>
      <c r="G132" t="inlineStr">
        <is>
          <t>ÖDESHÖG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46311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46311</v>
      </c>
      <c r="F134" t="inlineStr">
        <is>
          <t>ÖSTERGÖTLANDS LÄN</t>
        </is>
      </c>
      <c r="G134" t="inlineStr">
        <is>
          <t>ÖDESHÖG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46311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46311</v>
      </c>
      <c r="F136" t="inlineStr">
        <is>
          <t>ÖSTERGÖTLANDS LÄN</t>
        </is>
      </c>
      <c r="G136" t="inlineStr">
        <is>
          <t>ÖDESHÖG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44796</v>
      </c>
      <c r="E137" s="1" t="n">
        <v>46311</v>
      </c>
      <c r="F137" t="inlineStr">
        <is>
          <t>ÖSTERGÖTLANDS LÄN</t>
        </is>
      </c>
      <c r="G137" t="inlineStr">
        <is>
          <t>ÖDESHÖG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46311</v>
      </c>
      <c r="F138" t="inlineStr">
        <is>
          <t>ÖSTERGÖTLANDS LÄN</t>
        </is>
      </c>
      <c r="G138" t="inlineStr">
        <is>
          <t>ÖDESHÖG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61011-2024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45645</v>
      </c>
      <c r="E139" s="1" t="n">
        <v>46311</v>
      </c>
      <c r="F139" t="inlineStr">
        <is>
          <t>ÖSTERGÖTLANDS LÄN</t>
        </is>
      </c>
      <c r="G139" t="inlineStr">
        <is>
          <t>ÖDESHÖG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46311</v>
      </c>
      <c r="F140" t="inlineStr">
        <is>
          <t>ÖSTERGÖTLANDS LÄN</t>
        </is>
      </c>
      <c r="G140" t="inlineStr">
        <is>
          <t>ÖDESHÖG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46311</v>
      </c>
      <c r="F141" t="inlineStr">
        <is>
          <t>ÖSTERGÖTLANDS LÄN</t>
        </is>
      </c>
      <c r="G141" t="inlineStr">
        <is>
          <t>ÖDESHÖG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46311</v>
      </c>
      <c r="F142" t="inlineStr">
        <is>
          <t>ÖSTERGÖTLANDS LÄN</t>
        </is>
      </c>
      <c r="G142" t="inlineStr">
        <is>
          <t>ÖDESHÖG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46311</v>
      </c>
      <c r="F143" t="inlineStr">
        <is>
          <t>ÖSTERGÖTLANDS LÄN</t>
        </is>
      </c>
      <c r="G143" t="inlineStr">
        <is>
          <t>ÖDESHÖG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46311</v>
      </c>
      <c r="F144" t="inlineStr">
        <is>
          <t>ÖSTERGÖTLANDS LÄN</t>
        </is>
      </c>
      <c r="G144" t="inlineStr">
        <is>
          <t>ÖDESHÖG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46311</v>
      </c>
      <c r="F145" t="inlineStr">
        <is>
          <t>ÖSTERGÖTLANDS LÄN</t>
        </is>
      </c>
      <c r="G145" t="inlineStr">
        <is>
          <t>ÖDESHÖG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46311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45929</v>
      </c>
      <c r="E147" s="1" t="n">
        <v>46311</v>
      </c>
      <c r="F147" t="inlineStr">
        <is>
          <t>ÖSTERGÖTLANDS LÄN</t>
        </is>
      </c>
      <c r="G147" t="inlineStr">
        <is>
          <t>ÖDESHÖG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45412</v>
      </c>
      <c r="E148" s="1" t="n">
        <v>46311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46311</v>
      </c>
      <c r="F149" t="inlineStr">
        <is>
          <t>ÖSTERGÖTLANDS LÄN</t>
        </is>
      </c>
      <c r="G149" t="inlineStr">
        <is>
          <t>ÖDESHÖG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46311</v>
      </c>
      <c r="F150" t="inlineStr">
        <is>
          <t>ÖSTERGÖTLANDS LÄN</t>
        </is>
      </c>
      <c r="G150" t="inlineStr">
        <is>
          <t>ÖDESHÖG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46311</v>
      </c>
      <c r="F151" t="inlineStr">
        <is>
          <t>ÖSTERGÖTLANDS LÄN</t>
        </is>
      </c>
      <c r="G151" t="inlineStr">
        <is>
          <t>ÖDESHÖG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46311</v>
      </c>
      <c r="F152" t="inlineStr">
        <is>
          <t>ÖSTERGÖTLANDS LÄN</t>
        </is>
      </c>
      <c r="G152" t="inlineStr">
        <is>
          <t>ÖDESHÖG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46311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46311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11193-2023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44992</v>
      </c>
      <c r="E155" s="1" t="n">
        <v>46311</v>
      </c>
      <c r="F155" t="inlineStr">
        <is>
          <t>ÖSTERGÖTLANDS LÄN</t>
        </is>
      </c>
      <c r="G155" t="inlineStr">
        <is>
          <t>ÖDESHÖG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46311</v>
      </c>
      <c r="F156" t="inlineStr">
        <is>
          <t>ÖSTERGÖTLANDS LÄN</t>
        </is>
      </c>
      <c r="G156" t="inlineStr">
        <is>
          <t>ÖDESHÖG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46311</v>
      </c>
      <c r="F157" t="inlineStr">
        <is>
          <t>ÖSTERGÖTLANDS LÄN</t>
        </is>
      </c>
      <c r="G157" t="inlineStr">
        <is>
          <t>ÖDESHÖG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46311</v>
      </c>
      <c r="F158" t="inlineStr">
        <is>
          <t>ÖSTERGÖTLANDS LÄN</t>
        </is>
      </c>
      <c r="G158" t="inlineStr">
        <is>
          <t>ÖDESHÖG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46184</v>
      </c>
      <c r="E159" s="1" t="n">
        <v>46311</v>
      </c>
      <c r="F159" t="inlineStr">
        <is>
          <t>ÖSTERGÖTLANDS LÄN</t>
        </is>
      </c>
      <c r="G159" t="inlineStr">
        <is>
          <t>ÖDESHÖG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46311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45944</v>
      </c>
      <c r="E161" s="1" t="n">
        <v>46311</v>
      </c>
      <c r="F161" t="inlineStr">
        <is>
          <t>ÖSTERGÖTLANDS LÄN</t>
        </is>
      </c>
      <c r="G161" t="inlineStr">
        <is>
          <t>ÖDESHÖG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46311</v>
      </c>
      <c r="F162" t="inlineStr">
        <is>
          <t>ÖSTERGÖTLANDS LÄN</t>
        </is>
      </c>
      <c r="G162" t="inlineStr">
        <is>
          <t>ÖDESHÖG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46311</v>
      </c>
      <c r="F163" t="inlineStr">
        <is>
          <t>ÖSTERGÖTLANDS LÄN</t>
        </is>
      </c>
      <c r="G163" t="inlineStr">
        <is>
          <t>ÖDESHÖG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45149</v>
      </c>
      <c r="E164" s="1" t="n">
        <v>46311</v>
      </c>
      <c r="F164" t="inlineStr">
        <is>
          <t>ÖSTERGÖTLANDS LÄN</t>
        </is>
      </c>
      <c r="G164" t="inlineStr">
        <is>
          <t>ÖDESHÖG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46199</v>
      </c>
      <c r="E165" s="1" t="n">
        <v>46311</v>
      </c>
      <c r="F165" t="inlineStr">
        <is>
          <t>ÖSTERGÖTLANDS LÄN</t>
        </is>
      </c>
      <c r="G165" t="inlineStr">
        <is>
          <t>ÖDESHÖG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46311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46311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15198-2022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44658</v>
      </c>
      <c r="E168" s="1" t="n">
        <v>46311</v>
      </c>
      <c r="F168" t="inlineStr">
        <is>
          <t>ÖSTERGÖTLANDS LÄN</t>
        </is>
      </c>
      <c r="G168" t="inlineStr">
        <is>
          <t>ÖDESHÖG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46311</v>
      </c>
      <c r="F169" t="inlineStr">
        <is>
          <t>ÖSTERGÖTLANDS LÄN</t>
        </is>
      </c>
      <c r="G169" t="inlineStr">
        <is>
          <t>ÖDESHÖG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44709</v>
      </c>
      <c r="E170" s="1" t="n">
        <v>46311</v>
      </c>
      <c r="F170" t="inlineStr">
        <is>
          <t>ÖSTERGÖTLANDS LÄN</t>
        </is>
      </c>
      <c r="G170" t="inlineStr">
        <is>
          <t>ÖDESHÖG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72603-2021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44546</v>
      </c>
      <c r="E171" s="1" t="n">
        <v>46311</v>
      </c>
      <c r="F171" t="inlineStr">
        <is>
          <t>ÖSTERGÖTLANDS LÄN</t>
        </is>
      </c>
      <c r="G171" t="inlineStr">
        <is>
          <t>ÖDESHÖG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44981</v>
      </c>
      <c r="E172" s="1" t="n">
        <v>46311</v>
      </c>
      <c r="F172" t="inlineStr">
        <is>
          <t>ÖSTERGÖTLANDS LÄN</t>
        </is>
      </c>
      <c r="G172" t="inlineStr">
        <is>
          <t>ÖDESHÖG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46311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46311</v>
      </c>
      <c r="F174" t="inlineStr">
        <is>
          <t>ÖSTERGÖTLANDS LÄN</t>
        </is>
      </c>
      <c r="G174" t="inlineStr">
        <is>
          <t>ÖDESHÖG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46311</v>
      </c>
      <c r="F175" t="inlineStr">
        <is>
          <t>ÖSTERGÖTLANDS LÄN</t>
        </is>
      </c>
      <c r="G175" t="inlineStr">
        <is>
          <t>ÖDESHÖG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45950</v>
      </c>
      <c r="E176" s="1" t="n">
        <v>46311</v>
      </c>
      <c r="F176" t="inlineStr">
        <is>
          <t>ÖSTERGÖTLANDS LÄN</t>
        </is>
      </c>
      <c r="G176" t="inlineStr">
        <is>
          <t>ÖDESHÖG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46311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Sveaskog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46311</v>
      </c>
      <c r="F178" t="inlineStr">
        <is>
          <t>ÖSTERGÖTLANDS LÄN</t>
        </is>
      </c>
      <c r="G178" t="inlineStr">
        <is>
          <t>ÖDESHÖG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45146</v>
      </c>
      <c r="E179" s="1" t="n">
        <v>46311</v>
      </c>
      <c r="F179" t="inlineStr">
        <is>
          <t>ÖSTERGÖTLANDS LÄN</t>
        </is>
      </c>
      <c r="G179" t="inlineStr">
        <is>
          <t>ÖDESHÖG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46311</v>
      </c>
      <c r="F180" t="inlineStr">
        <is>
          <t>ÖSTERGÖTLANDS LÄN</t>
        </is>
      </c>
      <c r="G180" t="inlineStr">
        <is>
          <t>ÖDESHÖG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45084</v>
      </c>
      <c r="E181" s="1" t="n">
        <v>46311</v>
      </c>
      <c r="F181" t="inlineStr">
        <is>
          <t>ÖSTERGÖTLANDS LÄN</t>
        </is>
      </c>
      <c r="G181" t="inlineStr">
        <is>
          <t>ÖDESHÖG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45373</v>
      </c>
      <c r="E182" s="1" t="n">
        <v>46311</v>
      </c>
      <c r="F182" t="inlineStr">
        <is>
          <t>ÖSTERGÖTLANDS LÄN</t>
        </is>
      </c>
      <c r="G182" t="inlineStr">
        <is>
          <t>ÖDESHÖG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46311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46311</v>
      </c>
      <c r="F184" t="inlineStr">
        <is>
          <t>ÖSTERGÖTLANDS LÄN</t>
        </is>
      </c>
      <c r="G184" t="inlineStr">
        <is>
          <t>ÖDESHÖG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46311</v>
      </c>
      <c r="F185" t="inlineStr">
        <is>
          <t>ÖSTERGÖTLANDS LÄN</t>
        </is>
      </c>
      <c r="G185" t="inlineStr">
        <is>
          <t>ÖDESHÖG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46220</v>
      </c>
      <c r="E186" s="1" t="n">
        <v>46311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10335-2022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44623</v>
      </c>
      <c r="E187" s="1" t="n">
        <v>46311</v>
      </c>
      <c r="F187" t="inlineStr">
        <is>
          <t>ÖSTERGÖTLANDS LÄN</t>
        </is>
      </c>
      <c r="G187" t="inlineStr">
        <is>
          <t>ÖDESHÖG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46311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46311</v>
      </c>
      <c r="F189" t="inlineStr">
        <is>
          <t>ÖSTERGÖTLANDS LÄN</t>
        </is>
      </c>
      <c r="G189" t="inlineStr">
        <is>
          <t>ÖDESHÖG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46311</v>
      </c>
      <c r="F190" t="inlineStr">
        <is>
          <t>ÖSTERGÖTLANDS LÄN</t>
        </is>
      </c>
      <c r="G190" t="inlineStr">
        <is>
          <t>ÖDESHÖG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15813-2022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44664</v>
      </c>
      <c r="E191" s="1" t="n">
        <v>46311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46311</v>
      </c>
      <c r="F192" t="inlineStr">
        <is>
          <t>ÖSTERGÖTLANDS LÄN</t>
        </is>
      </c>
      <c r="G192" t="inlineStr">
        <is>
          <t>ÖDESHÖG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46275</v>
      </c>
      <c r="E193" s="1" t="n">
        <v>46311</v>
      </c>
      <c r="F193" t="inlineStr">
        <is>
          <t>ÖSTERGÖTLANDS LÄN</t>
        </is>
      </c>
      <c r="G193" t="inlineStr">
        <is>
          <t>ÖDESHÖG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45776</v>
      </c>
      <c r="E194" s="1" t="n">
        <v>46311</v>
      </c>
      <c r="F194" t="inlineStr">
        <is>
          <t>ÖSTERGÖTLANDS LÄN</t>
        </is>
      </c>
      <c r="G194" t="inlineStr">
        <is>
          <t>ÖDESHÖG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46311</v>
      </c>
      <c r="F195" t="inlineStr">
        <is>
          <t>ÖSTERGÖTLANDS LÄN</t>
        </is>
      </c>
      <c r="G195" t="inlineStr">
        <is>
          <t>ÖDESHÖG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46311</v>
      </c>
      <c r="F196" t="inlineStr">
        <is>
          <t>ÖSTERGÖTLANDS LÄN</t>
        </is>
      </c>
      <c r="G196" t="inlineStr">
        <is>
          <t>ÖDESHÖG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46311</v>
      </c>
      <c r="F197" t="inlineStr">
        <is>
          <t>ÖSTERGÖTLANDS LÄN</t>
        </is>
      </c>
      <c r="G197" t="inlineStr">
        <is>
          <t>ÖDESHÖG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46311</v>
      </c>
      <c r="F198" t="inlineStr">
        <is>
          <t>ÖSTERGÖTLANDS LÄN</t>
        </is>
      </c>
      <c r="G198" t="inlineStr">
        <is>
          <t>ÖDESHÖG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46311</v>
      </c>
      <c r="F199" t="inlineStr">
        <is>
          <t>ÖSTERGÖTLANDS LÄN</t>
        </is>
      </c>
      <c r="G199" t="inlineStr">
        <is>
          <t>ÖDESHÖG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45316</v>
      </c>
      <c r="E200" s="1" t="n">
        <v>46311</v>
      </c>
      <c r="F200" t="inlineStr">
        <is>
          <t>ÖSTERGÖTLANDS LÄN</t>
        </is>
      </c>
      <c r="G200" t="inlineStr">
        <is>
          <t>ÖDESHÖG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46311</v>
      </c>
      <c r="F201" t="inlineStr">
        <is>
          <t>ÖSTERGÖTLANDS LÄN</t>
        </is>
      </c>
      <c r="G201" t="inlineStr">
        <is>
          <t>ÖDESHÖG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46311</v>
      </c>
      <c r="F202" t="inlineStr">
        <is>
          <t>ÖSTERGÖTLANDS LÄN</t>
        </is>
      </c>
      <c r="G202" t="inlineStr">
        <is>
          <t>ÖDESHÖG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46311</v>
      </c>
      <c r="F203" t="inlineStr">
        <is>
          <t>ÖSTERGÖTLANDS LÄN</t>
        </is>
      </c>
      <c r="G203" t="inlineStr">
        <is>
          <t>ÖDESHÖG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46311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46311</v>
      </c>
      <c r="F205" t="inlineStr">
        <is>
          <t>ÖSTERGÖTLANDS LÄN</t>
        </is>
      </c>
      <c r="G205" t="inlineStr">
        <is>
          <t>ÖDESHÖG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45516</v>
      </c>
      <c r="E206" s="1" t="n">
        <v>46311</v>
      </c>
      <c r="F206" t="inlineStr">
        <is>
          <t>ÖSTERGÖTLANDS LÄN</t>
        </is>
      </c>
      <c r="G206" t="inlineStr">
        <is>
          <t>ÖDESHÖG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46311</v>
      </c>
      <c r="F207" t="inlineStr">
        <is>
          <t>ÖSTERGÖTLANDS LÄN</t>
        </is>
      </c>
      <c r="G207" t="inlineStr">
        <is>
          <t>ÖDESHÖG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46289</v>
      </c>
      <c r="E208" s="1" t="n">
        <v>46311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46275</v>
      </c>
      <c r="E209" s="1" t="n">
        <v>46311</v>
      </c>
      <c r="F209" t="inlineStr">
        <is>
          <t>ÖSTERGÖTLANDS LÄN</t>
        </is>
      </c>
      <c r="G209" t="inlineStr">
        <is>
          <t>ÖDESHÖG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46311</v>
      </c>
      <c r="F210" t="inlineStr">
        <is>
          <t>ÖSTERGÖTLANDS LÄN</t>
        </is>
      </c>
      <c r="G210" t="inlineStr">
        <is>
          <t>ÖDESHÖG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46311</v>
      </c>
      <c r="F211" t="inlineStr">
        <is>
          <t>ÖSTERGÖTLANDS LÄN</t>
        </is>
      </c>
      <c r="G211" t="inlineStr">
        <is>
          <t>ÖDESHÖG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46311</v>
      </c>
      <c r="F212" t="inlineStr">
        <is>
          <t>ÖSTERGÖTLANDS LÄN</t>
        </is>
      </c>
      <c r="G212" t="inlineStr">
        <is>
          <t>ÖDESHÖG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46311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Allmännings- och besparingsskogar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46311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46311</v>
      </c>
      <c r="F215" t="inlineStr">
        <is>
          <t>ÖSTERGÖTLANDS LÄN</t>
        </is>
      </c>
      <c r="G215" t="inlineStr">
        <is>
          <t>ÖDESHÖG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46003</v>
      </c>
      <c r="E216" s="1" t="n">
        <v>46311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62801-2025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46008</v>
      </c>
      <c r="E217" s="1" t="n">
        <v>46311</v>
      </c>
      <c r="F217" t="inlineStr">
        <is>
          <t>ÖSTERGÖTLANDS LÄN</t>
        </is>
      </c>
      <c r="G217" t="inlineStr">
        <is>
          <t>ÖDESHÖG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46311</v>
      </c>
      <c r="F218" t="inlineStr">
        <is>
          <t>ÖSTERGÖTLANDS LÄN</t>
        </is>
      </c>
      <c r="G218" t="inlineStr">
        <is>
          <t>ÖDESHÖG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45217</v>
      </c>
      <c r="E219" s="1" t="n">
        <v>46311</v>
      </c>
      <c r="F219" t="inlineStr">
        <is>
          <t>ÖSTERGÖTLANDS LÄN</t>
        </is>
      </c>
      <c r="G219" t="inlineStr">
        <is>
          <t>ÖDESHÖG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46021</v>
      </c>
      <c r="E220" s="1" t="n">
        <v>46311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46311</v>
      </c>
      <c r="F221" t="inlineStr">
        <is>
          <t>ÖSTERGÖTLANDS LÄN</t>
        </is>
      </c>
      <c r="G221" t="inlineStr">
        <is>
          <t>ÖDESHÖG</t>
        </is>
      </c>
      <c r="H221" t="inlineStr">
        <is>
          <t>Allmännings- och besparingsskogar</t>
        </is>
      </c>
      <c r="I221" t="n">
        <v>15.4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46311</v>
      </c>
      <c r="F222" t="inlineStr">
        <is>
          <t>ÖSTERGÖTLANDS LÄN</t>
        </is>
      </c>
      <c r="G222" t="inlineStr">
        <is>
          <t>ÖDESHÖG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46029</v>
      </c>
      <c r="E223" s="1" t="n">
        <v>46311</v>
      </c>
      <c r="F223" t="inlineStr">
        <is>
          <t>ÖSTERGÖTLANDS LÄN</t>
        </is>
      </c>
      <c r="G223" t="inlineStr">
        <is>
          <t>ÖDESHÖG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46311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Allmännings- och besparingsskogar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46311</v>
      </c>
      <c r="F225" t="inlineStr">
        <is>
          <t>ÖSTERGÖTLANDS LÄN</t>
        </is>
      </c>
      <c r="G225" t="inlineStr">
        <is>
          <t>ÖDESHÖG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46311</v>
      </c>
      <c r="F226" t="inlineStr">
        <is>
          <t>ÖSTERGÖTLANDS LÄN</t>
        </is>
      </c>
      <c r="G226" t="inlineStr">
        <is>
          <t>ÖDESHÖG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46311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46311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46311</v>
      </c>
      <c r="F229" t="inlineStr">
        <is>
          <t>ÖSTERGÖTLANDS LÄN</t>
        </is>
      </c>
      <c r="G229" t="inlineStr">
        <is>
          <t>ÖDESHÖG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46311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46306</v>
      </c>
      <c r="E231" s="1" t="n">
        <v>46311</v>
      </c>
      <c r="F231" t="inlineStr">
        <is>
          <t>ÖSTERGÖTLANDS LÄN</t>
        </is>
      </c>
      <c r="G231" t="inlineStr">
        <is>
          <t>ÖDESHÖG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46306</v>
      </c>
      <c r="E232" s="1" t="n">
        <v>46311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46059</v>
      </c>
      <c r="E233" s="1" t="n">
        <v>46311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46311</v>
      </c>
      <c r="F234" t="inlineStr">
        <is>
          <t>ÖSTERGÖTLANDS LÄN</t>
        </is>
      </c>
      <c r="G234" t="inlineStr">
        <is>
          <t>ÖDESHÖG</t>
        </is>
      </c>
      <c r="I234" t="n">
        <v>13.4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46311</v>
      </c>
      <c r="F235" t="inlineStr">
        <is>
          <t>ÖSTERGÖTLANDS LÄN</t>
        </is>
      </c>
      <c r="G235" t="inlineStr">
        <is>
          <t>ÖDESHÖG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46092</v>
      </c>
      <c r="E236" s="1" t="n">
        <v>46311</v>
      </c>
      <c r="F236" t="inlineStr">
        <is>
          <t>ÖSTERGÖTLANDS LÄN</t>
        </is>
      </c>
      <c r="G236" t="inlineStr">
        <is>
          <t>ÖDESHÖG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46311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46311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2026-10-16T02:21:14Z</dcterms:created>
  <dcterms:modified xmlns:dcterms="http://purl.org/dc/terms/" xmlns:xsi="http://www.w3.org/2001/XMLSchema-instance" xsi:type="dcterms:W3CDTF">2026-10-16T02:21:14Z</dcterms:modified>
</cp:coreProperties>
</file>