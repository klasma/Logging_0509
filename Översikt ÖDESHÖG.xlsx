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46292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46292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46292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46292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46292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46292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46292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58052-2021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46292</v>
      </c>
      <c r="F12" t="inlineStr">
        <is>
          <t>ÖSTERGÖTLANDS LÄN</t>
        </is>
      </c>
      <c r="G12" t="inlineStr">
        <is>
          <t>ÖDESHÖG</t>
        </is>
      </c>
      <c r="H12" t="inlineStr">
        <is>
          <t>Sveaskog</t>
        </is>
      </c>
      <c r="I12" t="n">
        <v>4.3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Granbarkgnagare</t>
        </is>
      </c>
      <c r="W12">
        <f>HYPERLINK("https://klasma.github.io/Logging_0509/artfynd/A 58052-2021 artfynd.xlsx", "A 58052-2021")</f>
        <v/>
      </c>
      <c r="X12">
        <f>HYPERLINK("https://klasma.github.io/Logging_0509/kartor/A 58052-2021 karta.png", "A 58052-2021")</f>
        <v/>
      </c>
      <c r="Y12">
        <f>HYPERLINK("https://klasma.github.io/Logging_0509/kartor_geotiff/A 58052-2021 georefererad karta.tif", "A 58052-2021")</f>
        <v/>
      </c>
      <c r="AA12">
        <f>HYPERLINK("https://klasma.github.io/Logging_0509/klagomål/A 58052-2021 FSC-klagomål.docx", "A 58052-2021")</f>
        <v/>
      </c>
      <c r="AB12">
        <f>HYPERLINK("https://klasma.github.io/Logging_0509/klagomålsmail/A 58052-2021 FSC-klagomål mail.docx", "A 58052-2021")</f>
        <v/>
      </c>
      <c r="AC12">
        <f>HYPERLINK("https://klasma.github.io/Logging_0509/tillsyn/A 58052-2021 tillsynsbegäran.docx", "A 58052-2021")</f>
        <v/>
      </c>
      <c r="AD12">
        <f>HYPERLINK("https://klasma.github.io/Logging_0509/tillsynsmail/A 58052-2021 tillsynsbegäran mail.docx", "A 58052-2021")</f>
        <v/>
      </c>
    </row>
    <row r="13" ht="15" customHeight="1">
      <c r="A13" t="inlineStr">
        <is>
          <t>A 58551-2023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45251</v>
      </c>
      <c r="E13" s="1" t="n">
        <v>46292</v>
      </c>
      <c r="F13" t="inlineStr">
        <is>
          <t>ÖSTERGÖTLANDS LÄN</t>
        </is>
      </c>
      <c r="G13" t="inlineStr">
        <is>
          <t>ÖDESHÖG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HYPERLINK("https://klasma.github.io/Logging_0509/artfynd/A 58551-2023 artfynd.xlsx", "A 58551-2023")</f>
        <v/>
      </c>
      <c r="X13">
        <f>HYPERLINK("https://klasma.github.io/Logging_0509/kartor/A 58551-2023 karta.png", "A 58551-2023")</f>
        <v/>
      </c>
      <c r="Y13">
        <f>HYPERLINK("https://klasma.github.io/Logging_0509/kartor_geotiff/A 58551-2023 georefererad karta.tif", "A 58551-2023")</f>
        <v/>
      </c>
      <c r="AA13">
        <f>HYPERLINK("https://klasma.github.io/Logging_0509/klagomål/A 58551-2023 FSC-klagomål.docx", "A 58551-2023")</f>
        <v/>
      </c>
      <c r="AB13">
        <f>HYPERLINK("https://klasma.github.io/Logging_0509/klagomålsmail/A 58551-2023 FSC-klagomål mail.docx", "A 58551-2023")</f>
        <v/>
      </c>
      <c r="AC13">
        <f>HYPERLINK("https://klasma.github.io/Logging_0509/tillsyn/A 58551-2023 tillsynsbegäran.docx", "A 58551-2023")</f>
        <v/>
      </c>
      <c r="AD13">
        <f>HYPERLINK("https://klasma.github.io/Logging_0509/tillsynsmail/A 58551-2023 tillsynsbegäran mail.docx", "A 58551-2023")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46292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46292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46292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46292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46292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46292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46292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46292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46292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46292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46292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46292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46292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46292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46292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46292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46292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46292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46292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46292</v>
      </c>
      <c r="F33" t="inlineStr">
        <is>
          <t>ÖSTERGÖTLANDS LÄN</t>
        </is>
      </c>
      <c r="G33" t="inlineStr">
        <is>
          <t>ÖDESHÖG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46292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15906-2024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45405</v>
      </c>
      <c r="E35" s="1" t="n">
        <v>46292</v>
      </c>
      <c r="F35" t="inlineStr">
        <is>
          <t>ÖSTERGÖTLANDS LÄN</t>
        </is>
      </c>
      <c r="G35" t="inlineStr">
        <is>
          <t>ÖDESHÖG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46292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46292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15.4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46292</v>
      </c>
      <c r="F38" t="inlineStr">
        <is>
          <t>ÖSTERGÖTLANDS LÄN</t>
        </is>
      </c>
      <c r="G38" t="inlineStr">
        <is>
          <t>ÖDESHÖG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21336-2025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46292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30389-2024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45491</v>
      </c>
      <c r="E40" s="1" t="n">
        <v>46292</v>
      </c>
      <c r="F40" t="inlineStr">
        <is>
          <t>ÖSTERGÖTLANDS LÄN</t>
        </is>
      </c>
      <c r="G40" t="inlineStr">
        <is>
          <t>ÖDESHÖG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46292</v>
      </c>
      <c r="F41" t="inlineStr">
        <is>
          <t>ÖSTERGÖTLANDS LÄN</t>
        </is>
      </c>
      <c r="G41" t="inlineStr">
        <is>
          <t>ÖDESHÖG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46292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46292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46292</v>
      </c>
      <c r="F44" t="inlineStr">
        <is>
          <t>ÖSTERGÖTLANDS LÄN</t>
        </is>
      </c>
      <c r="G44" t="inlineStr">
        <is>
          <t>ÖDESHÖG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44470</v>
      </c>
      <c r="E45" s="1" t="n">
        <v>46292</v>
      </c>
      <c r="F45" t="inlineStr">
        <is>
          <t>ÖSTERGÖTLANDS LÄN</t>
        </is>
      </c>
      <c r="G45" t="inlineStr">
        <is>
          <t>ÖDESHÖG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48325-2022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44858</v>
      </c>
      <c r="E46" s="1" t="n">
        <v>46292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46292</v>
      </c>
      <c r="F47" t="inlineStr">
        <is>
          <t>ÖSTERGÖTLANDS LÄN</t>
        </is>
      </c>
      <c r="G47" t="inlineStr">
        <is>
          <t>ÖDESHÖG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46292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46031</v>
      </c>
      <c r="E49" s="1" t="n">
        <v>46292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44512</v>
      </c>
      <c r="E50" s="1" t="n">
        <v>46292</v>
      </c>
      <c r="F50" t="inlineStr">
        <is>
          <t>ÖSTERGÖTLANDS LÄN</t>
        </is>
      </c>
      <c r="G50" t="inlineStr">
        <is>
          <t>ÖDESHÖG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46031</v>
      </c>
      <c r="E51" s="1" t="n">
        <v>46292</v>
      </c>
      <c r="F51" t="inlineStr">
        <is>
          <t>ÖSTERGÖTLANDS LÄN</t>
        </is>
      </c>
      <c r="G51" t="inlineStr">
        <is>
          <t>ÖDESHÖG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46292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46292</v>
      </c>
      <c r="F53" t="inlineStr">
        <is>
          <t>ÖSTERGÖTLANDS LÄN</t>
        </is>
      </c>
      <c r="G53" t="inlineStr">
        <is>
          <t>ÖDESHÖG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46292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46292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46292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46292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46292</v>
      </c>
      <c r="F58" t="inlineStr">
        <is>
          <t>ÖSTERGÖTLANDS LÄN</t>
        </is>
      </c>
      <c r="G58" t="inlineStr">
        <is>
          <t>ÖDESHÖG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45902</v>
      </c>
      <c r="E59" s="1" t="n">
        <v>46292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46292</v>
      </c>
      <c r="F60" t="inlineStr">
        <is>
          <t>ÖSTERGÖTLANDS LÄN</t>
        </is>
      </c>
      <c r="G60" t="inlineStr">
        <is>
          <t>ÖDESHÖG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46292</v>
      </c>
      <c r="F61" t="inlineStr">
        <is>
          <t>ÖSTERGÖTLANDS LÄN</t>
        </is>
      </c>
      <c r="G61" t="inlineStr">
        <is>
          <t>ÖDESHÖG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46292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45405</v>
      </c>
      <c r="E63" s="1" t="n">
        <v>46292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15915-2024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45405</v>
      </c>
      <c r="E64" s="1" t="n">
        <v>46292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46292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45416</v>
      </c>
      <c r="E66" s="1" t="n">
        <v>46292</v>
      </c>
      <c r="F66" t="inlineStr">
        <is>
          <t>ÖSTERGÖTLANDS LÄN</t>
        </is>
      </c>
      <c r="G66" t="inlineStr">
        <is>
          <t>ÖDESHÖG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46062</v>
      </c>
      <c r="E67" s="1" t="n">
        <v>46292</v>
      </c>
      <c r="F67" t="inlineStr">
        <is>
          <t>ÖSTERGÖTLANDS LÄN</t>
        </is>
      </c>
      <c r="G67" t="inlineStr">
        <is>
          <t>ÖDESHÖG</t>
        </is>
      </c>
      <c r="I67" t="n">
        <v>13.4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46292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46292</v>
      </c>
      <c r="F69" t="inlineStr">
        <is>
          <t>ÖSTERGÖTLANDS LÄN</t>
        </is>
      </c>
      <c r="G69" t="inlineStr">
        <is>
          <t>ÖDESHÖG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45014</v>
      </c>
      <c r="E70" s="1" t="n">
        <v>46292</v>
      </c>
      <c r="F70" t="inlineStr">
        <is>
          <t>ÖSTERGÖTLANDS LÄN</t>
        </is>
      </c>
      <c r="G70" t="inlineStr">
        <is>
          <t>ÖDESHÖG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46292</v>
      </c>
      <c r="F71" t="inlineStr">
        <is>
          <t>ÖSTERGÖTLANDS LÄN</t>
        </is>
      </c>
      <c r="G71" t="inlineStr">
        <is>
          <t>ÖDESHÖG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46292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46292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46292</v>
      </c>
      <c r="F74" t="inlineStr">
        <is>
          <t>ÖSTERGÖTLANDS LÄN</t>
        </is>
      </c>
      <c r="G74" t="inlineStr">
        <is>
          <t>ÖDESHÖG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46292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46292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46292</v>
      </c>
      <c r="F77" t="inlineStr">
        <is>
          <t>ÖSTERGÖTLANDS LÄN</t>
        </is>
      </c>
      <c r="G77" t="inlineStr">
        <is>
          <t>ÖDESHÖG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46292</v>
      </c>
      <c r="F78" t="inlineStr">
        <is>
          <t>ÖSTERGÖTLANDS LÄN</t>
        </is>
      </c>
      <c r="G78" t="inlineStr">
        <is>
          <t>ÖDESHÖG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46292</v>
      </c>
      <c r="F79" t="inlineStr">
        <is>
          <t>ÖSTERGÖTLANDS LÄN</t>
        </is>
      </c>
      <c r="G79" t="inlineStr">
        <is>
          <t>ÖDESHÖG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46292</v>
      </c>
      <c r="F80" t="inlineStr">
        <is>
          <t>ÖSTERGÖTLANDS LÄN</t>
        </is>
      </c>
      <c r="G80" t="inlineStr">
        <is>
          <t>ÖDESHÖG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46292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44974</v>
      </c>
      <c r="E82" s="1" t="n">
        <v>46292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12859-2026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46092</v>
      </c>
      <c r="E83" s="1" t="n">
        <v>46292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46092</v>
      </c>
      <c r="E84" s="1" t="n">
        <v>46292</v>
      </c>
      <c r="F84" t="inlineStr">
        <is>
          <t>ÖSTERGÖTLANDS LÄN</t>
        </is>
      </c>
      <c r="G84" t="inlineStr">
        <is>
          <t>ÖDESHÖG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45069</v>
      </c>
      <c r="E85" s="1" t="n">
        <v>46292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45944</v>
      </c>
      <c r="E86" s="1" t="n">
        <v>46292</v>
      </c>
      <c r="F86" t="inlineStr">
        <is>
          <t>ÖSTERGÖTLANDS LÄN</t>
        </is>
      </c>
      <c r="G86" t="inlineStr">
        <is>
          <t>ÖDESHÖG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45533</v>
      </c>
      <c r="E87" s="1" t="n">
        <v>46292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45397</v>
      </c>
      <c r="E88" s="1" t="n">
        <v>46292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46292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46292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46292</v>
      </c>
      <c r="F91" t="inlineStr">
        <is>
          <t>ÖSTERGÖTLANDS LÄN</t>
        </is>
      </c>
      <c r="G91" t="inlineStr">
        <is>
          <t>ÖDESHÖG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46292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46292</v>
      </c>
      <c r="F93" t="inlineStr">
        <is>
          <t>ÖSTERGÖTLANDS LÄN</t>
        </is>
      </c>
      <c r="G93" t="inlineStr">
        <is>
          <t>ÖDESHÖG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46292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46292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46292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46292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46292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45049</v>
      </c>
      <c r="E99" s="1" t="n">
        <v>46292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46292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20720-2025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45776</v>
      </c>
      <c r="E101" s="1" t="n">
        <v>46292</v>
      </c>
      <c r="F101" t="inlineStr">
        <is>
          <t>ÖSTERGÖTLANDS LÄN</t>
        </is>
      </c>
      <c r="G101" t="inlineStr">
        <is>
          <t>ÖDESHÖG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46292</v>
      </c>
      <c r="F102" t="inlineStr">
        <is>
          <t>ÖSTERGÖTLANDS LÄN</t>
        </is>
      </c>
      <c r="G102" t="inlineStr">
        <is>
          <t>ÖDESHÖG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46292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46292</v>
      </c>
      <c r="F104" t="inlineStr">
        <is>
          <t>ÖSTERGÖTLANDS LÄN</t>
        </is>
      </c>
      <c r="G104" t="inlineStr">
        <is>
          <t>ÖDESHÖG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46292</v>
      </c>
      <c r="F105" t="inlineStr">
        <is>
          <t>ÖSTERGÖTLANDS LÄN</t>
        </is>
      </c>
      <c r="G105" t="inlineStr">
        <is>
          <t>ÖDESHÖG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46109</v>
      </c>
      <c r="E106" s="1" t="n">
        <v>46292</v>
      </c>
      <c r="F106" t="inlineStr">
        <is>
          <t>ÖSTERGÖTLANDS LÄN</t>
        </is>
      </c>
      <c r="G106" t="inlineStr">
        <is>
          <t>ÖDESHÖG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46292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22.7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46122</v>
      </c>
      <c r="E108" s="1" t="n">
        <v>46292</v>
      </c>
      <c r="F108" t="inlineStr">
        <is>
          <t>ÖSTERGÖTLANDS LÄN</t>
        </is>
      </c>
      <c r="G108" t="inlineStr">
        <is>
          <t>ÖDESHÖG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46292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46292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46292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46292</v>
      </c>
      <c r="F112" t="inlineStr">
        <is>
          <t>ÖSTERGÖTLANDS LÄN</t>
        </is>
      </c>
      <c r="G112" t="inlineStr">
        <is>
          <t>ÖDESHÖG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46292</v>
      </c>
      <c r="F113" t="inlineStr">
        <is>
          <t>ÖSTERGÖTLANDS LÄN</t>
        </is>
      </c>
      <c r="G113" t="inlineStr">
        <is>
          <t>ÖDESHÖG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46292</v>
      </c>
      <c r="F114" t="inlineStr">
        <is>
          <t>ÖSTERGÖTLANDS LÄN</t>
        </is>
      </c>
      <c r="G114" t="inlineStr">
        <is>
          <t>ÖDESHÖG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46292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46292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46292</v>
      </c>
      <c r="F117" t="inlineStr">
        <is>
          <t>ÖSTERGÖTLANDS LÄN</t>
        </is>
      </c>
      <c r="G117" t="inlineStr">
        <is>
          <t>ÖDESHÖG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46292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46292</v>
      </c>
      <c r="F119" t="inlineStr">
        <is>
          <t>ÖSTERGÖTLANDS LÄN</t>
        </is>
      </c>
      <c r="G119" t="inlineStr">
        <is>
          <t>ÖDESHÖG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46292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44613</v>
      </c>
      <c r="E121" s="1" t="n">
        <v>46292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46292</v>
      </c>
      <c r="F122" t="inlineStr">
        <is>
          <t>ÖSTERGÖTLANDS LÄN</t>
        </is>
      </c>
      <c r="G122" t="inlineStr">
        <is>
          <t>ÖDESHÖG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46292</v>
      </c>
      <c r="F123" t="inlineStr">
        <is>
          <t>ÖSTERGÖTLANDS LÄN</t>
        </is>
      </c>
      <c r="G123" t="inlineStr">
        <is>
          <t>ÖDESHÖG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46292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45678</v>
      </c>
      <c r="E125" s="1" t="n">
        <v>46292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46292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45750</v>
      </c>
      <c r="E127" s="1" t="n">
        <v>46292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46292</v>
      </c>
      <c r="F128" t="inlineStr">
        <is>
          <t>ÖSTERGÖTLANDS LÄN</t>
        </is>
      </c>
      <c r="G128" t="inlineStr">
        <is>
          <t>ÖDESHÖG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46292</v>
      </c>
      <c r="F129" t="inlineStr">
        <is>
          <t>ÖSTERGÖTLANDS LÄN</t>
        </is>
      </c>
      <c r="G129" t="inlineStr">
        <is>
          <t>ÖDESHÖG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46292</v>
      </c>
      <c r="F130" t="inlineStr">
        <is>
          <t>ÖSTERGÖTLANDS LÄN</t>
        </is>
      </c>
      <c r="G130" t="inlineStr">
        <is>
          <t>ÖDESHÖG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45027</v>
      </c>
      <c r="E131" s="1" t="n">
        <v>46292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45692</v>
      </c>
      <c r="E132" s="1" t="n">
        <v>46292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46292</v>
      </c>
      <c r="F133" t="inlineStr">
        <is>
          <t>ÖSTERGÖTLANDS LÄN</t>
        </is>
      </c>
      <c r="G133" t="inlineStr">
        <is>
          <t>ÖDESHÖG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46292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45065</v>
      </c>
      <c r="E135" s="1" t="n">
        <v>46292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46292</v>
      </c>
      <c r="F136" t="inlineStr">
        <is>
          <t>ÖSTERGÖTLANDS LÄN</t>
        </is>
      </c>
      <c r="G136" t="inlineStr">
        <is>
          <t>ÖDESHÖG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46292</v>
      </c>
      <c r="F137" t="inlineStr">
        <is>
          <t>ÖSTERGÖTLANDS LÄN</t>
        </is>
      </c>
      <c r="G137" t="inlineStr">
        <is>
          <t>ÖDESHÖG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46292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46292</v>
      </c>
      <c r="F139" t="inlineStr">
        <is>
          <t>ÖSTERGÖTLANDS LÄN</t>
        </is>
      </c>
      <c r="G139" t="inlineStr">
        <is>
          <t>ÖDESHÖG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46292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45065</v>
      </c>
      <c r="E141" s="1" t="n">
        <v>46292</v>
      </c>
      <c r="F141" t="inlineStr">
        <is>
          <t>ÖSTERGÖTLANDS LÄN</t>
        </is>
      </c>
      <c r="G141" t="inlineStr">
        <is>
          <t>ÖDESHÖG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61011-2024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45645</v>
      </c>
      <c r="E142" s="1" t="n">
        <v>46292</v>
      </c>
      <c r="F142" t="inlineStr">
        <is>
          <t>ÖSTERGÖTLANDS LÄN</t>
        </is>
      </c>
      <c r="G142" t="inlineStr">
        <is>
          <t>ÖDESHÖG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46292</v>
      </c>
      <c r="F143" t="inlineStr">
        <is>
          <t>ÖSTERGÖTLANDS LÄN</t>
        </is>
      </c>
      <c r="G143" t="inlineStr">
        <is>
          <t>ÖDESHÖG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45707</v>
      </c>
      <c r="E144" s="1" t="n">
        <v>46292</v>
      </c>
      <c r="F144" t="inlineStr">
        <is>
          <t>ÖSTERGÖTLANDS LÄN</t>
        </is>
      </c>
      <c r="G144" t="inlineStr">
        <is>
          <t>ÖDESHÖG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46292</v>
      </c>
      <c r="F145" t="inlineStr">
        <is>
          <t>ÖSTERGÖTLANDS LÄN</t>
        </is>
      </c>
      <c r="G145" t="inlineStr">
        <is>
          <t>ÖDESHÖG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46292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46292</v>
      </c>
      <c r="F147" t="inlineStr">
        <is>
          <t>ÖSTERGÖTLANDS LÄN</t>
        </is>
      </c>
      <c r="G147" t="inlineStr">
        <is>
          <t>ÖDESHÖG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46292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45335</v>
      </c>
      <c r="E149" s="1" t="n">
        <v>46292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46292</v>
      </c>
      <c r="F150" t="inlineStr">
        <is>
          <t>ÖSTERGÖTLANDS LÄN</t>
        </is>
      </c>
      <c r="G150" t="inlineStr">
        <is>
          <t>ÖDESHÖG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46292</v>
      </c>
      <c r="F151" t="inlineStr">
        <is>
          <t>ÖSTERGÖTLANDS LÄN</t>
        </is>
      </c>
      <c r="G151" t="inlineStr">
        <is>
          <t>ÖDESHÖG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46292</v>
      </c>
      <c r="F152" t="inlineStr">
        <is>
          <t>ÖSTERGÖTLANDS LÄN</t>
        </is>
      </c>
      <c r="G152" t="inlineStr">
        <is>
          <t>ÖDESHÖG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46292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46292</v>
      </c>
      <c r="F154" t="inlineStr">
        <is>
          <t>ÖSTERGÖTLANDS LÄN</t>
        </is>
      </c>
      <c r="G154" t="inlineStr">
        <is>
          <t>ÖDESHÖG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46292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46292</v>
      </c>
      <c r="F156" t="inlineStr">
        <is>
          <t>ÖSTERGÖTLANDS LÄN</t>
        </is>
      </c>
      <c r="G156" t="inlineStr">
        <is>
          <t>ÖDESHÖG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46292</v>
      </c>
      <c r="F157" t="inlineStr">
        <is>
          <t>ÖSTERGÖTLANDS LÄN</t>
        </is>
      </c>
      <c r="G157" t="inlineStr">
        <is>
          <t>ÖDESHÖG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46292</v>
      </c>
      <c r="F158" t="inlineStr">
        <is>
          <t>ÖSTERGÖTLANDS LÄN</t>
        </is>
      </c>
      <c r="G158" t="inlineStr">
        <is>
          <t>ÖDESHÖG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46184</v>
      </c>
      <c r="E159" s="1" t="n">
        <v>46292</v>
      </c>
      <c r="F159" t="inlineStr">
        <is>
          <t>ÖSTERGÖTLANDS LÄN</t>
        </is>
      </c>
      <c r="G159" t="inlineStr">
        <is>
          <t>ÖDESHÖG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46292</v>
      </c>
      <c r="F160" t="inlineStr">
        <is>
          <t>ÖSTERGÖTLANDS LÄN</t>
        </is>
      </c>
      <c r="G160" t="inlineStr">
        <is>
          <t>ÖDESHÖG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46292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46292</v>
      </c>
      <c r="F162" t="inlineStr">
        <is>
          <t>ÖSTERGÖTLANDS LÄN</t>
        </is>
      </c>
      <c r="G162" t="inlineStr">
        <is>
          <t>ÖDESHÖG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15909-2024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45405</v>
      </c>
      <c r="E163" s="1" t="n">
        <v>46292</v>
      </c>
      <c r="F163" t="inlineStr">
        <is>
          <t>ÖSTERGÖTLANDS LÄN</t>
        </is>
      </c>
      <c r="G163" t="inlineStr">
        <is>
          <t>ÖDESHÖG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46292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45512</v>
      </c>
      <c r="E165" s="1" t="n">
        <v>46292</v>
      </c>
      <c r="F165" t="inlineStr">
        <is>
          <t>ÖSTERGÖTLANDS LÄN</t>
        </is>
      </c>
      <c r="G165" t="inlineStr">
        <is>
          <t>ÖDESHÖG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46199</v>
      </c>
      <c r="E166" s="1" t="n">
        <v>46292</v>
      </c>
      <c r="F166" t="inlineStr">
        <is>
          <t>ÖSTERGÖTLANDS LÄN</t>
        </is>
      </c>
      <c r="G166" t="inlineStr">
        <is>
          <t>ÖDESHÖG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46292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28718-2026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46292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46292</v>
      </c>
      <c r="F169" t="inlineStr">
        <is>
          <t>ÖSTERGÖTLANDS LÄN</t>
        </is>
      </c>
      <c r="G169" t="inlineStr">
        <is>
          <t>ÖDESHÖG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46292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39190-2023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45166</v>
      </c>
      <c r="E171" s="1" t="n">
        <v>46292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46292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Sveaskog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45027</v>
      </c>
      <c r="E173" s="1" t="n">
        <v>46292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46292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45313</v>
      </c>
      <c r="E175" s="1" t="n">
        <v>46292</v>
      </c>
      <c r="F175" t="inlineStr">
        <is>
          <t>ÖSTERGÖTLANDS LÄN</t>
        </is>
      </c>
      <c r="G175" t="inlineStr">
        <is>
          <t>ÖDESHÖG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46292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46292</v>
      </c>
      <c r="F177" t="inlineStr">
        <is>
          <t>ÖSTERGÖTLANDS LÄN</t>
        </is>
      </c>
      <c r="G177" t="inlineStr">
        <is>
          <t>ÖDESHÖG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46292</v>
      </c>
      <c r="F178" t="inlineStr">
        <is>
          <t>ÖSTERGÖTLANDS LÄN</t>
        </is>
      </c>
      <c r="G178" t="inlineStr">
        <is>
          <t>ÖDESHÖG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45183</v>
      </c>
      <c r="E179" s="1" t="n">
        <v>46292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44698</v>
      </c>
      <c r="E180" s="1" t="n">
        <v>46292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46292</v>
      </c>
      <c r="F181" t="inlineStr">
        <is>
          <t>ÖSTERGÖTLANDS LÄN</t>
        </is>
      </c>
      <c r="G181" t="inlineStr">
        <is>
          <t>ÖDESHÖG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44700</v>
      </c>
      <c r="E182" s="1" t="n">
        <v>46292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46292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46292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46292</v>
      </c>
      <c r="F185" t="inlineStr">
        <is>
          <t>ÖSTERGÖTLANDS LÄN</t>
        </is>
      </c>
      <c r="G185" t="inlineStr">
        <is>
          <t>ÖDESHÖG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45748</v>
      </c>
      <c r="E186" s="1" t="n">
        <v>46292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46220</v>
      </c>
      <c r="E187" s="1" t="n">
        <v>46292</v>
      </c>
      <c r="F187" t="inlineStr">
        <is>
          <t>ÖSTERGÖTLANDS LÄN</t>
        </is>
      </c>
      <c r="G187" t="inlineStr">
        <is>
          <t>ÖDESHÖG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45160</v>
      </c>
      <c r="E188" s="1" t="n">
        <v>46292</v>
      </c>
      <c r="F188" t="inlineStr">
        <is>
          <t>ÖSTERGÖTLANDS LÄN</t>
        </is>
      </c>
      <c r="G188" t="inlineStr">
        <is>
          <t>ÖDESHÖG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46292</v>
      </c>
      <c r="F189" t="inlineStr">
        <is>
          <t>ÖSTERGÖTLANDS LÄN</t>
        </is>
      </c>
      <c r="G189" t="inlineStr">
        <is>
          <t>ÖDESHÖG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44938</v>
      </c>
      <c r="E190" s="1" t="n">
        <v>46292</v>
      </c>
      <c r="F190" t="inlineStr">
        <is>
          <t>ÖSTERGÖTLANDS LÄN</t>
        </is>
      </c>
      <c r="G190" t="inlineStr">
        <is>
          <t>ÖDESHÖG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44796</v>
      </c>
      <c r="E191" s="1" t="n">
        <v>46292</v>
      </c>
      <c r="F191" t="inlineStr">
        <is>
          <t>ÖSTERGÖTLANDS LÄN</t>
        </is>
      </c>
      <c r="G191" t="inlineStr">
        <is>
          <t>ÖDESHÖG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45048</v>
      </c>
      <c r="E192" s="1" t="n">
        <v>46292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46272</v>
      </c>
      <c r="E193" s="1" t="n">
        <v>46292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46292</v>
      </c>
      <c r="F194" t="inlineStr">
        <is>
          <t>ÖSTERGÖTLANDS LÄN</t>
        </is>
      </c>
      <c r="G194" t="inlineStr">
        <is>
          <t>ÖDESHÖG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46275</v>
      </c>
      <c r="E195" s="1" t="n">
        <v>46292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16.5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46275</v>
      </c>
      <c r="E196" s="1" t="n">
        <v>46292</v>
      </c>
      <c r="F196" t="inlineStr">
        <is>
          <t>ÖSTERGÖTLANDS LÄN</t>
        </is>
      </c>
      <c r="G196" t="inlineStr">
        <is>
          <t>ÖDESHÖG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46292</v>
      </c>
      <c r="F197" t="inlineStr">
        <is>
          <t>ÖSTERGÖTLANDS LÄN</t>
        </is>
      </c>
      <c r="G197" t="inlineStr">
        <is>
          <t>ÖDESHÖG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46292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46292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46292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46292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46289</v>
      </c>
      <c r="E202" s="1" t="n">
        <v>46292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46292</v>
      </c>
      <c r="F203" t="inlineStr">
        <is>
          <t>ÖSTERGÖTLANDS LÄN</t>
        </is>
      </c>
      <c r="G203" t="inlineStr">
        <is>
          <t>ÖDESHÖG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46292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44999</v>
      </c>
      <c r="E205" s="1" t="n">
        <v>46292</v>
      </c>
      <c r="F205" t="inlineStr">
        <is>
          <t>ÖSTERGÖTLANDS LÄN</t>
        </is>
      </c>
      <c r="G205" t="inlineStr">
        <is>
          <t>ÖDESHÖG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46292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44658</v>
      </c>
      <c r="E207" s="1" t="n">
        <v>46292</v>
      </c>
      <c r="F207" t="inlineStr">
        <is>
          <t>ÖSTERGÖTLANDS LÄN</t>
        </is>
      </c>
      <c r="G207" t="inlineStr">
        <is>
          <t>ÖDESHÖG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46292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44709</v>
      </c>
      <c r="E209" s="1" t="n">
        <v>46292</v>
      </c>
      <c r="F209" t="inlineStr">
        <is>
          <t>ÖSTERGÖTLANDS LÄN</t>
        </is>
      </c>
      <c r="G209" t="inlineStr">
        <is>
          <t>ÖDESHÖG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72603-2021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44546</v>
      </c>
      <c r="E210" s="1" t="n">
        <v>46292</v>
      </c>
      <c r="F210" t="inlineStr">
        <is>
          <t>ÖSTERGÖTLANDS LÄN</t>
        </is>
      </c>
      <c r="G210" t="inlineStr">
        <is>
          <t>ÖDESHÖG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44981</v>
      </c>
      <c r="E211" s="1" t="n">
        <v>46292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46292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46292</v>
      </c>
      <c r="F213" t="inlineStr">
        <is>
          <t>ÖSTERGÖTLANDS LÄN</t>
        </is>
      </c>
      <c r="G213" t="inlineStr">
        <is>
          <t>ÖDESHÖG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46292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46292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46292</v>
      </c>
      <c r="F216" t="inlineStr">
        <is>
          <t>ÖSTERGÖTLANDS LÄN</t>
        </is>
      </c>
      <c r="G216" t="inlineStr">
        <is>
          <t>ÖDESHÖG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46292</v>
      </c>
      <c r="F217" t="inlineStr">
        <is>
          <t>ÖSTERGÖTLANDS LÄN</t>
        </is>
      </c>
      <c r="G217" t="inlineStr">
        <is>
          <t>ÖDESHÖG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46292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46292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46292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46292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46292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46292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15813-2022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44664</v>
      </c>
      <c r="E224" s="1" t="n">
        <v>46292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46292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46292</v>
      </c>
      <c r="F226" t="inlineStr">
        <is>
          <t>ÖSTERGÖTLANDS LÄN</t>
        </is>
      </c>
      <c r="G226" t="inlineStr">
        <is>
          <t>ÖDESHÖG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45316</v>
      </c>
      <c r="E227" s="1" t="n">
        <v>46292</v>
      </c>
      <c r="F227" t="inlineStr">
        <is>
          <t>ÖSTERGÖTLANDS LÄN</t>
        </is>
      </c>
      <c r="G227" t="inlineStr">
        <is>
          <t>ÖDESHÖG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46292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51041-2024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46292</v>
      </c>
      <c r="F229" t="inlineStr">
        <is>
          <t>ÖSTERGÖTLANDS LÄN</t>
        </is>
      </c>
      <c r="G229" t="inlineStr">
        <is>
          <t>ÖDESHÖG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46292</v>
      </c>
      <c r="F230" t="inlineStr">
        <is>
          <t>ÖSTERGÖTLANDS LÄN</t>
        </is>
      </c>
      <c r="G230" t="inlineStr">
        <is>
          <t>ÖDESHÖG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46292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46292</v>
      </c>
      <c r="F232" t="inlineStr">
        <is>
          <t>ÖSTERGÖTLANDS LÄN</t>
        </is>
      </c>
      <c r="G232" t="inlineStr">
        <is>
          <t>ÖDESHÖG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45516</v>
      </c>
      <c r="E233" s="1" t="n">
        <v>46292</v>
      </c>
      <c r="F233" t="inlineStr">
        <is>
          <t>ÖSTERGÖTLANDS LÄN</t>
        </is>
      </c>
      <c r="G233" t="inlineStr">
        <is>
          <t>ÖDESHÖG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46292</v>
      </c>
      <c r="F234" t="inlineStr">
        <is>
          <t>ÖSTERGÖTLANDS LÄN</t>
        </is>
      </c>
      <c r="G234" t="inlineStr">
        <is>
          <t>ÖDESHÖG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46292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46292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46292</v>
      </c>
      <c r="F237" t="inlineStr">
        <is>
          <t>ÖSTERGÖTLANDS LÄN</t>
        </is>
      </c>
      <c r="G237" t="inlineStr">
        <is>
          <t>ÖDESHÖG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45217</v>
      </c>
      <c r="E238" s="1" t="n">
        <v>46292</v>
      </c>
      <c r="F238" t="inlineStr">
        <is>
          <t>ÖSTERGÖTLANDS LÄN</t>
        </is>
      </c>
      <c r="G238" t="inlineStr">
        <is>
          <t>ÖDESHÖG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899-2024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45376</v>
      </c>
      <c r="E239" s="1" t="n">
        <v>46292</v>
      </c>
      <c r="F239" t="inlineStr">
        <is>
          <t>ÖSTERGÖTLANDS LÄN</t>
        </is>
      </c>
      <c r="G239" t="inlineStr">
        <is>
          <t>ÖDESHÖG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6457-2022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44879</v>
      </c>
      <c r="E240" s="1" t="n">
        <v>46292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101.8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2026-09-27T01:57:40Z</dcterms:created>
  <dcterms:modified xmlns:dcterms="http://purl.org/dc/terms/" xmlns:xsi="http://www.w3.org/2001/XMLSchema-instance" xsi:type="dcterms:W3CDTF">2026-09-27T01:57:40Z</dcterms:modified>
</cp:coreProperties>
</file>