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46237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46237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46237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46237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46237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46237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46237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46237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46237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46237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46237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46237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46237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46237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46237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32713-2024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45516</v>
      </c>
      <c r="E17" s="1" t="n">
        <v>46237</v>
      </c>
      <c r="F17" t="inlineStr">
        <is>
          <t>ÖSTERGÖTLANDS LÄN</t>
        </is>
      </c>
      <c r="G17" t="inlineStr">
        <is>
          <t>ÖDESHÖG</t>
        </is>
      </c>
      <c r="I17" t="n">
        <v>6.1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Kristinspindling</t>
        </is>
      </c>
      <c r="W17">
        <f>HYPERLINK("https://klasma.github.io/Logging_0509/artfynd/A 32713-2024 artfynd.xlsx", "A 32713-2024")</f>
        <v/>
      </c>
      <c r="X17">
        <f>HYPERLINK("https://klasma.github.io/Logging_0509/kartor/A 32713-2024 karta.png", "A 32713-2024")</f>
        <v/>
      </c>
      <c r="Y17">
        <f>HYPERLINK("https://klasma.github.io/Logging_0509/kartor_geotiff/A 32713-2024 georefererad karta.tif", "A 32713-2024")</f>
        <v/>
      </c>
      <c r="AA17">
        <f>HYPERLINK("https://klasma.github.io/Logging_0509/klagomål/A 32713-2024 FSC-klagomål.docx", "A 32713-2024")</f>
        <v/>
      </c>
      <c r="AB17">
        <f>HYPERLINK("https://klasma.github.io/Logging_0509/klagomålsmail/A 32713-2024 FSC-klagomål mail.docx", "A 32713-2024")</f>
        <v/>
      </c>
      <c r="AC17">
        <f>HYPERLINK("https://klasma.github.io/Logging_0509/tillsyn/A 32713-2024 tillsynsbegäran.docx", "A 32713-2024")</f>
        <v/>
      </c>
      <c r="AD17">
        <f>HYPERLINK("https://klasma.github.io/Logging_0509/tillsynsmail/A 32713-2024 tillsynsbegäran mail.docx", "A 32713-2024")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46237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50774-2023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46237</v>
      </c>
      <c r="F19" t="inlineStr">
        <is>
          <t>ÖSTERGÖTLANDS LÄN</t>
        </is>
      </c>
      <c r="G19" t="inlineStr">
        <is>
          <t>ÖDESHÖG</t>
        </is>
      </c>
      <c r="I19" t="n">
        <v>9.5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Mörk dunört</t>
        </is>
      </c>
      <c r="W19">
        <f>HYPERLINK("https://klasma.github.io/Logging_0509/artfynd/A 50774-2023 artfynd.xlsx", "A 50774-2023")</f>
        <v/>
      </c>
      <c r="X19">
        <f>HYPERLINK("https://klasma.github.io/Logging_0509/kartor/A 50774-2023 karta.png", "A 50774-2023")</f>
        <v/>
      </c>
      <c r="Y19">
        <f>HYPERLINK("https://klasma.github.io/Logging_0509/kartor_geotiff/A 50774-2023 georefererad karta.tif", "A 50774-2023")</f>
        <v/>
      </c>
      <c r="AA19">
        <f>HYPERLINK("https://klasma.github.io/Logging_0509/klagomål/A 50774-2023 FSC-klagomål.docx", "A 50774-2023")</f>
        <v/>
      </c>
      <c r="AB19">
        <f>HYPERLINK("https://klasma.github.io/Logging_0509/klagomålsmail/A 50774-2023 FSC-klagomål mail.docx", "A 50774-2023")</f>
        <v/>
      </c>
      <c r="AC19">
        <f>HYPERLINK("https://klasma.github.io/Logging_0509/tillsyn/A 50774-2023 tillsynsbegäran.docx", "A 50774-2023")</f>
        <v/>
      </c>
      <c r="AD19">
        <f>HYPERLINK("https://klasma.github.io/Logging_0509/tillsynsmail/A 50774-2023 tillsynsbegäran mail.docx", "A 50774-2023")</f>
        <v/>
      </c>
    </row>
    <row r="20" ht="15" customHeight="1">
      <c r="A20" t="inlineStr">
        <is>
          <t>A 32776-2025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45839</v>
      </c>
      <c r="E20" s="1" t="n">
        <v>46237</v>
      </c>
      <c r="F20" t="inlineStr">
        <is>
          <t>ÖSTERGÖTLANDS LÄN</t>
        </is>
      </c>
      <c r="G20" t="inlineStr">
        <is>
          <t>ÖDESHÖG</t>
        </is>
      </c>
      <c r="I20" t="n">
        <v>1.3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Smalsprötad bastardsvärmare</t>
        </is>
      </c>
      <c r="W20">
        <f>HYPERLINK("https://klasma.github.io/Logging_0509/artfynd/A 32776-2025 artfynd.xlsx", "A 32776-2025")</f>
        <v/>
      </c>
      <c r="X20">
        <f>HYPERLINK("https://klasma.github.io/Logging_0509/kartor/A 32776-2025 karta.png", "A 32776-2025")</f>
        <v/>
      </c>
      <c r="Y20">
        <f>HYPERLINK("https://klasma.github.io/Logging_0509/kartor_geotiff/A 32776-2025 georefererad karta.tif", "A 32776-2025")</f>
        <v/>
      </c>
      <c r="AA20">
        <f>HYPERLINK("https://klasma.github.io/Logging_0509/klagomål/A 32776-2025 FSC-klagomål.docx", "A 32776-2025")</f>
        <v/>
      </c>
      <c r="AB20">
        <f>HYPERLINK("https://klasma.github.io/Logging_0509/klagomålsmail/A 32776-2025 FSC-klagomål mail.docx", "A 32776-2025")</f>
        <v/>
      </c>
      <c r="AC20">
        <f>HYPERLINK("https://klasma.github.io/Logging_0509/tillsyn/A 32776-2025 tillsynsbegäran.docx", "A 32776-2025")</f>
        <v/>
      </c>
      <c r="AD20">
        <f>HYPERLINK("https://klasma.github.io/Logging_0509/tillsynsmail/A 32776-2025 tillsynsbegäran mail.docx", "A 32776-2025")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46237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46237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46237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46237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46237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46237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46237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46237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46237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46237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46237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46237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46237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46237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46237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46237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46237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30389-2024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45491</v>
      </c>
      <c r="E38" s="1" t="n">
        <v>46237</v>
      </c>
      <c r="F38" t="inlineStr">
        <is>
          <t>ÖSTERGÖTLANDS LÄN</t>
        </is>
      </c>
      <c r="G38" t="inlineStr">
        <is>
          <t>ÖDESHÖG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46237</v>
      </c>
      <c r="F39" t="inlineStr">
        <is>
          <t>ÖSTERGÖTLANDS LÄN</t>
        </is>
      </c>
      <c r="G39" t="inlineStr">
        <is>
          <t>ÖDESHÖG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11193-2023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44992</v>
      </c>
      <c r="E40" s="1" t="n">
        <v>46237</v>
      </c>
      <c r="F40" t="inlineStr">
        <is>
          <t>ÖSTERGÖTLANDS LÄN</t>
        </is>
      </c>
      <c r="G40" t="inlineStr">
        <is>
          <t>ÖDESHÖG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44470</v>
      </c>
      <c r="E41" s="1" t="n">
        <v>46237</v>
      </c>
      <c r="F41" t="inlineStr">
        <is>
          <t>ÖSTERGÖTLANDS LÄN</t>
        </is>
      </c>
      <c r="G41" t="inlineStr">
        <is>
          <t>ÖDESHÖG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48325-2022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44858</v>
      </c>
      <c r="E42" s="1" t="n">
        <v>46237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46237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64802-2021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44512</v>
      </c>
      <c r="E44" s="1" t="n">
        <v>46237</v>
      </c>
      <c r="F44" t="inlineStr">
        <is>
          <t>ÖSTERGÖTLANDS LÄN</t>
        </is>
      </c>
      <c r="G44" t="inlineStr">
        <is>
          <t>ÖDESHÖG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45337</v>
      </c>
      <c r="E45" s="1" t="n">
        <v>46237</v>
      </c>
      <c r="F45" t="inlineStr">
        <is>
          <t>ÖSTERGÖTLANDS LÄN</t>
        </is>
      </c>
      <c r="G45" t="inlineStr">
        <is>
          <t>ÖDESHÖG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45342</v>
      </c>
      <c r="E46" s="1" t="n">
        <v>46237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35661-2024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46237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39024-2023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45163</v>
      </c>
      <c r="E48" s="1" t="n">
        <v>46237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44894</v>
      </c>
      <c r="E49" s="1" t="n">
        <v>46237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46237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46237</v>
      </c>
      <c r="F51" t="inlineStr">
        <is>
          <t>ÖSTERGÖTLANDS LÄN</t>
        </is>
      </c>
      <c r="G51" t="inlineStr">
        <is>
          <t>ÖDESHÖG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44803</v>
      </c>
      <c r="E52" s="1" t="n">
        <v>46237</v>
      </c>
      <c r="F52" t="inlineStr">
        <is>
          <t>ÖSTERGÖTLANDS LÄN</t>
        </is>
      </c>
      <c r="G52" t="inlineStr">
        <is>
          <t>ÖDESHÖG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45203</v>
      </c>
      <c r="E53" s="1" t="n">
        <v>46237</v>
      </c>
      <c r="F53" t="inlineStr">
        <is>
          <t>ÖSTERGÖTLANDS LÄN</t>
        </is>
      </c>
      <c r="G53" t="inlineStr">
        <is>
          <t>ÖDESHÖG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15906-2024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45405</v>
      </c>
      <c r="E54" s="1" t="n">
        <v>46237</v>
      </c>
      <c r="F54" t="inlineStr">
        <is>
          <t>ÖSTERGÖTLANDS LÄN</t>
        </is>
      </c>
      <c r="G54" t="inlineStr">
        <is>
          <t>ÖDESHÖG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45491</v>
      </c>
      <c r="E55" s="1" t="n">
        <v>46237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3149-2024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46237</v>
      </c>
      <c r="F56" t="inlineStr">
        <is>
          <t>ÖSTERGÖTLANDS LÄN</t>
        </is>
      </c>
      <c r="G56" t="inlineStr">
        <is>
          <t>ÖDESHÖG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45203</v>
      </c>
      <c r="E57" s="1" t="n">
        <v>46237</v>
      </c>
      <c r="F57" t="inlineStr">
        <is>
          <t>ÖSTERGÖTLANDS LÄN</t>
        </is>
      </c>
      <c r="G57" t="inlineStr">
        <is>
          <t>ÖDESHÖG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26949-2023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46237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15907-2024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45405</v>
      </c>
      <c r="E59" s="1" t="n">
        <v>46237</v>
      </c>
      <c r="F59" t="inlineStr">
        <is>
          <t>ÖSTERGÖTLANDS LÄN</t>
        </is>
      </c>
      <c r="G59" t="inlineStr">
        <is>
          <t>ÖDESHÖG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15915-2024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45405</v>
      </c>
      <c r="E60" s="1" t="n">
        <v>46237</v>
      </c>
      <c r="F60" t="inlineStr">
        <is>
          <t>ÖSTERGÖTLANDS LÄN</t>
        </is>
      </c>
      <c r="G60" t="inlineStr">
        <is>
          <t>ÖDESHÖG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45416</v>
      </c>
      <c r="E61" s="1" t="n">
        <v>46237</v>
      </c>
      <c r="F61" t="inlineStr">
        <is>
          <t>ÖSTERGÖTLANDS LÄN</t>
        </is>
      </c>
      <c r="G61" t="inlineStr">
        <is>
          <t>ÖDESHÖG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13129-2023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46237</v>
      </c>
      <c r="F62" t="inlineStr">
        <is>
          <t>ÖSTERGÖTLANDS LÄN</t>
        </is>
      </c>
      <c r="G62" t="inlineStr">
        <is>
          <t>ÖDESHÖG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45331</v>
      </c>
      <c r="E63" s="1" t="n">
        <v>46237</v>
      </c>
      <c r="F63" t="inlineStr">
        <is>
          <t>ÖSTERGÖTLANDS LÄN</t>
        </is>
      </c>
      <c r="G63" t="inlineStr">
        <is>
          <t>ÖDESHÖG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14750-2023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45014</v>
      </c>
      <c r="E64" s="1" t="n">
        <v>46237</v>
      </c>
      <c r="F64" t="inlineStr">
        <is>
          <t>ÖSTERGÖTLANDS LÄN</t>
        </is>
      </c>
      <c r="G64" t="inlineStr">
        <is>
          <t>ÖDESHÖG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14156-2023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45009</v>
      </c>
      <c r="E65" s="1" t="n">
        <v>46237</v>
      </c>
      <c r="F65" t="inlineStr">
        <is>
          <t>ÖSTERGÖTLANDS LÄN</t>
        </is>
      </c>
      <c r="G65" t="inlineStr">
        <is>
          <t>ÖDESHÖG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41730-2025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46237</v>
      </c>
      <c r="F66" t="inlineStr">
        <is>
          <t>ÖSTERGÖTLANDS LÄN</t>
        </is>
      </c>
      <c r="G66" t="inlineStr">
        <is>
          <t>ÖDESHÖG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46237</v>
      </c>
      <c r="F67" t="inlineStr">
        <is>
          <t>ÖSTERGÖTLANDS LÄN</t>
        </is>
      </c>
      <c r="G67" t="inlineStr">
        <is>
          <t>ÖDESHÖG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63074-2025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46009</v>
      </c>
      <c r="E68" s="1" t="n">
        <v>46237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8256-2023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44974</v>
      </c>
      <c r="E69" s="1" t="n">
        <v>46237</v>
      </c>
      <c r="F69" t="inlineStr">
        <is>
          <t>ÖSTERGÖTLANDS LÄN</t>
        </is>
      </c>
      <c r="G69" t="inlineStr">
        <is>
          <t>ÖDESHÖG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45069</v>
      </c>
      <c r="E70" s="1" t="n">
        <v>46237</v>
      </c>
      <c r="F70" t="inlineStr">
        <is>
          <t>ÖSTERGÖTLANDS LÄN</t>
        </is>
      </c>
      <c r="G70" t="inlineStr">
        <is>
          <t>ÖDESHÖG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46237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46024</v>
      </c>
      <c r="E72" s="1" t="n">
        <v>46237</v>
      </c>
      <c r="F72" t="inlineStr">
        <is>
          <t>ÖSTERGÖTLANDS LÄN</t>
        </is>
      </c>
      <c r="G72" t="inlineStr">
        <is>
          <t>ÖDESHÖG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14736-2024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45397</v>
      </c>
      <c r="E73" s="1" t="n">
        <v>46237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46237</v>
      </c>
      <c r="F74" t="inlineStr">
        <is>
          <t>ÖSTERGÖTLANDS LÄN</t>
        </is>
      </c>
      <c r="G74" t="inlineStr">
        <is>
          <t>ÖDESHÖG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46237</v>
      </c>
      <c r="F75" t="inlineStr">
        <is>
          <t>ÖSTERGÖTLANDS LÄN</t>
        </is>
      </c>
      <c r="G75" t="inlineStr">
        <is>
          <t>ÖDESHÖG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46237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46237</v>
      </c>
      <c r="F77" t="inlineStr">
        <is>
          <t>ÖSTERGÖTLANDS LÄN</t>
        </is>
      </c>
      <c r="G77" t="inlineStr">
        <is>
          <t>ÖDESHÖG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46237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12332-2023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44999</v>
      </c>
      <c r="E79" s="1" t="n">
        <v>46237</v>
      </c>
      <c r="F79" t="inlineStr">
        <is>
          <t>ÖSTERGÖTLANDS LÄN</t>
        </is>
      </c>
      <c r="G79" t="inlineStr">
        <is>
          <t>ÖDESHÖG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45009</v>
      </c>
      <c r="E80" s="1" t="n">
        <v>46237</v>
      </c>
      <c r="F80" t="inlineStr">
        <is>
          <t>ÖSTERGÖTLANDS LÄN</t>
        </is>
      </c>
      <c r="G80" t="inlineStr">
        <is>
          <t>ÖDESHÖG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46237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46237</v>
      </c>
      <c r="F82" t="inlineStr">
        <is>
          <t>ÖSTERGÖTLANDS LÄN</t>
        </is>
      </c>
      <c r="G82" t="inlineStr">
        <is>
          <t>ÖDESHÖG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14166-2023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45009</v>
      </c>
      <c r="E83" s="1" t="n">
        <v>46237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45049</v>
      </c>
      <c r="E84" s="1" t="n">
        <v>46237</v>
      </c>
      <c r="F84" t="inlineStr">
        <is>
          <t>ÖSTERGÖTLANDS LÄN</t>
        </is>
      </c>
      <c r="G84" t="inlineStr">
        <is>
          <t>ÖDESHÖG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45929</v>
      </c>
      <c r="E85" s="1" t="n">
        <v>46237</v>
      </c>
      <c r="F85" t="inlineStr">
        <is>
          <t>ÖSTERGÖTLANDS LÄN</t>
        </is>
      </c>
      <c r="G85" t="inlineStr">
        <is>
          <t>ÖDESHÖG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46237</v>
      </c>
      <c r="F86" t="inlineStr">
        <is>
          <t>ÖSTERGÖTLANDS LÄN</t>
        </is>
      </c>
      <c r="G86" t="inlineStr">
        <is>
          <t>ÖDESHÖG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45932</v>
      </c>
      <c r="E87" s="1" t="n">
        <v>46237</v>
      </c>
      <c r="F87" t="inlineStr">
        <is>
          <t>ÖSTERGÖTLANDS LÄN</t>
        </is>
      </c>
      <c r="G87" t="inlineStr">
        <is>
          <t>ÖDESHÖG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46237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46237</v>
      </c>
      <c r="F89" t="inlineStr">
        <is>
          <t>ÖSTERGÖTLANDS LÄN</t>
        </is>
      </c>
      <c r="G89" t="inlineStr">
        <is>
          <t>ÖDESHÖG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46237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46237</v>
      </c>
      <c r="F91" t="inlineStr">
        <is>
          <t>ÖSTERGÖTLANDS LÄN</t>
        </is>
      </c>
      <c r="G91" t="inlineStr">
        <is>
          <t>ÖDESHÖG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44994</v>
      </c>
      <c r="E92" s="1" t="n">
        <v>46237</v>
      </c>
      <c r="F92" t="inlineStr">
        <is>
          <t>ÖSTERGÖTLANDS LÄN</t>
        </is>
      </c>
      <c r="G92" t="inlineStr">
        <is>
          <t>ÖDESHÖG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44658</v>
      </c>
      <c r="E93" s="1" t="n">
        <v>46237</v>
      </c>
      <c r="F93" t="inlineStr">
        <is>
          <t>ÖSTERGÖTLANDS LÄN</t>
        </is>
      </c>
      <c r="G93" t="inlineStr">
        <is>
          <t>ÖDESHÖG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45944</v>
      </c>
      <c r="E94" s="1" t="n">
        <v>46237</v>
      </c>
      <c r="F94" t="inlineStr">
        <is>
          <t>ÖSTERGÖTLANDS LÄN</t>
        </is>
      </c>
      <c r="G94" t="inlineStr">
        <is>
          <t>ÖDESHÖG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45699</v>
      </c>
      <c r="E95" s="1" t="n">
        <v>46237</v>
      </c>
      <c r="F95" t="inlineStr">
        <is>
          <t>ÖSTERGÖTLANDS LÄN</t>
        </is>
      </c>
      <c r="G95" t="inlineStr">
        <is>
          <t>ÖDESHÖG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45944</v>
      </c>
      <c r="E96" s="1" t="n">
        <v>46237</v>
      </c>
      <c r="F96" t="inlineStr">
        <is>
          <t>ÖSTERGÖTLANDS LÄN</t>
        </is>
      </c>
      <c r="G96" t="inlineStr">
        <is>
          <t>ÖDESHÖG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45617</v>
      </c>
      <c r="E97" s="1" t="n">
        <v>46237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22.7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21855-2022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44709</v>
      </c>
      <c r="E98" s="1" t="n">
        <v>46237</v>
      </c>
      <c r="F98" t="inlineStr">
        <is>
          <t>ÖSTERGÖTLANDS LÄN</t>
        </is>
      </c>
      <c r="G98" t="inlineStr">
        <is>
          <t>ÖDESHÖG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46237</v>
      </c>
      <c r="F99" t="inlineStr">
        <is>
          <t>ÖSTERGÖTLANDS LÄN</t>
        </is>
      </c>
      <c r="G99" t="inlineStr">
        <is>
          <t>ÖDESHÖG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46237</v>
      </c>
      <c r="F100" t="inlineStr">
        <is>
          <t>ÖSTERGÖTLANDS LÄN</t>
        </is>
      </c>
      <c r="G100" t="inlineStr">
        <is>
          <t>ÖDESHÖG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46237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46237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64709-2023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46237</v>
      </c>
      <c r="F103" t="inlineStr">
        <is>
          <t>ÖSTERGÖTLANDS LÄN</t>
        </is>
      </c>
      <c r="G103" t="inlineStr">
        <is>
          <t>ÖDESHÖG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45281</v>
      </c>
      <c r="E104" s="1" t="n">
        <v>46237</v>
      </c>
      <c r="F104" t="inlineStr">
        <is>
          <t>ÖSTERGÖTLANDS LÄN</t>
        </is>
      </c>
      <c r="G104" t="inlineStr">
        <is>
          <t>ÖDESHÖG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46237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45015</v>
      </c>
      <c r="E106" s="1" t="n">
        <v>46237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46237</v>
      </c>
      <c r="F107" t="inlineStr">
        <is>
          <t>ÖSTERGÖTLANDS LÄN</t>
        </is>
      </c>
      <c r="G107" t="inlineStr">
        <is>
          <t>ÖDESHÖG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46237</v>
      </c>
      <c r="F108" t="inlineStr">
        <is>
          <t>ÖSTERGÖTLANDS LÄN</t>
        </is>
      </c>
      <c r="G108" t="inlineStr">
        <is>
          <t>ÖDESHÖG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46237</v>
      </c>
      <c r="F109" t="inlineStr">
        <is>
          <t>ÖSTERGÖTLANDS LÄN</t>
        </is>
      </c>
      <c r="G109" t="inlineStr">
        <is>
          <t>ÖDESHÖG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45707</v>
      </c>
      <c r="E110" s="1" t="n">
        <v>46237</v>
      </c>
      <c r="F110" t="inlineStr">
        <is>
          <t>ÖSTERGÖTLANDS LÄN</t>
        </is>
      </c>
      <c r="G110" t="inlineStr">
        <is>
          <t>ÖDESHÖG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28718-2026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46198</v>
      </c>
      <c r="E111" s="1" t="n">
        <v>46237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28704-2026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46198</v>
      </c>
      <c r="E112" s="1" t="n">
        <v>46237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46237</v>
      </c>
      <c r="F113" t="inlineStr">
        <is>
          <t>ÖSTERGÖTLANDS LÄN</t>
        </is>
      </c>
      <c r="G113" t="inlineStr">
        <is>
          <t>ÖDESHÖG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46237</v>
      </c>
      <c r="F114" t="inlineStr">
        <is>
          <t>ÖSTERGÖTLANDS LÄN</t>
        </is>
      </c>
      <c r="G114" t="inlineStr">
        <is>
          <t>ÖDESHÖG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44613</v>
      </c>
      <c r="E115" s="1" t="n">
        <v>46237</v>
      </c>
      <c r="F115" t="inlineStr">
        <is>
          <t>ÖSTERGÖTLANDS LÄN</t>
        </is>
      </c>
      <c r="G115" t="inlineStr">
        <is>
          <t>ÖDESHÖG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38723-2023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46237</v>
      </c>
      <c r="F116" t="inlineStr">
        <is>
          <t>ÖSTERGÖTLANDS LÄN</t>
        </is>
      </c>
      <c r="G116" t="inlineStr">
        <is>
          <t>ÖDESHÖG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46237</v>
      </c>
      <c r="F117" t="inlineStr">
        <is>
          <t>ÖSTERGÖTLANDS LÄN</t>
        </is>
      </c>
      <c r="G117" t="inlineStr">
        <is>
          <t>ÖDESHÖG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45678</v>
      </c>
      <c r="E118" s="1" t="n">
        <v>46237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18.6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46237</v>
      </c>
      <c r="F119" t="inlineStr">
        <is>
          <t>ÖSTERGÖTLANDS LÄN</t>
        </is>
      </c>
      <c r="G119" t="inlineStr">
        <is>
          <t>ÖDESHÖG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46199</v>
      </c>
      <c r="E120" s="1" t="n">
        <v>46237</v>
      </c>
      <c r="F120" t="inlineStr">
        <is>
          <t>ÖSTERGÖTLANDS LÄN</t>
        </is>
      </c>
      <c r="G120" t="inlineStr">
        <is>
          <t>ÖDESHÖG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46237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45750</v>
      </c>
      <c r="E122" s="1" t="n">
        <v>46237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45240</v>
      </c>
      <c r="E123" s="1" t="n">
        <v>46237</v>
      </c>
      <c r="F123" t="inlineStr">
        <is>
          <t>ÖSTERGÖTLANDS LÄN</t>
        </is>
      </c>
      <c r="G123" t="inlineStr">
        <is>
          <t>ÖDESHÖG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45113</v>
      </c>
      <c r="E124" s="1" t="n">
        <v>46237</v>
      </c>
      <c r="F124" t="inlineStr">
        <is>
          <t>ÖSTERGÖTLANDS LÄN</t>
        </is>
      </c>
      <c r="G124" t="inlineStr">
        <is>
          <t>ÖDESHÖG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46237</v>
      </c>
      <c r="F125" t="inlineStr">
        <is>
          <t>ÖSTERGÖTLANDS LÄN</t>
        </is>
      </c>
      <c r="G125" t="inlineStr">
        <is>
          <t>ÖDESHÖG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45027</v>
      </c>
      <c r="E126" s="1" t="n">
        <v>46237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36730-2023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46237</v>
      </c>
      <c r="F127" t="inlineStr">
        <is>
          <t>ÖSTERGÖTLANDS LÄN</t>
        </is>
      </c>
      <c r="G127" t="inlineStr">
        <is>
          <t>ÖDESHÖG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61011-2024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45645</v>
      </c>
      <c r="E128" s="1" t="n">
        <v>46237</v>
      </c>
      <c r="F128" t="inlineStr">
        <is>
          <t>ÖSTERGÖTLANDS LÄN</t>
        </is>
      </c>
      <c r="G128" t="inlineStr">
        <is>
          <t>ÖDESHÖG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46237</v>
      </c>
      <c r="F129" t="inlineStr">
        <is>
          <t>ÖSTERGÖTLANDS LÄN</t>
        </is>
      </c>
      <c r="G129" t="inlineStr">
        <is>
          <t>ÖDESHÖG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46237</v>
      </c>
      <c r="F130" t="inlineStr">
        <is>
          <t>ÖSTERGÖTLANDS LÄN</t>
        </is>
      </c>
      <c r="G130" t="inlineStr">
        <is>
          <t>ÖDESHÖG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45084</v>
      </c>
      <c r="E131" s="1" t="n">
        <v>46237</v>
      </c>
      <c r="F131" t="inlineStr">
        <is>
          <t>ÖSTERGÖTLANDS LÄN</t>
        </is>
      </c>
      <c r="G131" t="inlineStr">
        <is>
          <t>ÖDESHÖG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46237</v>
      </c>
      <c r="F132" t="inlineStr">
        <is>
          <t>ÖSTERGÖTLANDS LÄN</t>
        </is>
      </c>
      <c r="G132" t="inlineStr">
        <is>
          <t>ÖDESHÖG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46237</v>
      </c>
      <c r="F133" t="inlineStr">
        <is>
          <t>ÖSTERGÖTLANDS LÄN</t>
        </is>
      </c>
      <c r="G133" t="inlineStr">
        <is>
          <t>ÖDESHÖG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45617</v>
      </c>
      <c r="E134" s="1" t="n">
        <v>46237</v>
      </c>
      <c r="F134" t="inlineStr">
        <is>
          <t>ÖSTERGÖTLANDS LÄN</t>
        </is>
      </c>
      <c r="G134" t="inlineStr">
        <is>
          <t>ÖDESHÖG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45065</v>
      </c>
      <c r="E135" s="1" t="n">
        <v>46237</v>
      </c>
      <c r="F135" t="inlineStr">
        <is>
          <t>ÖSTERGÖTLANDS LÄN</t>
        </is>
      </c>
      <c r="G135" t="inlineStr">
        <is>
          <t>ÖDESHÖG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45049</v>
      </c>
      <c r="E136" s="1" t="n">
        <v>46237</v>
      </c>
      <c r="F136" t="inlineStr">
        <is>
          <t>ÖSTERGÖTLANDS LÄN</t>
        </is>
      </c>
      <c r="G136" t="inlineStr">
        <is>
          <t>ÖDESHÖG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46237</v>
      </c>
      <c r="F137" t="inlineStr">
        <is>
          <t>ÖSTERGÖTLANDS LÄN</t>
        </is>
      </c>
      <c r="G137" t="inlineStr">
        <is>
          <t>ÖDESHÖG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46237</v>
      </c>
      <c r="F138" t="inlineStr">
        <is>
          <t>ÖSTERGÖTLANDS LÄN</t>
        </is>
      </c>
      <c r="G138" t="inlineStr">
        <is>
          <t>ÖDESHÖG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46237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Sveaskog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46237</v>
      </c>
      <c r="F140" t="inlineStr">
        <is>
          <t>ÖSTERGÖTLANDS LÄN</t>
        </is>
      </c>
      <c r="G140" t="inlineStr">
        <is>
          <t>ÖDESHÖG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61801-2025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46237</v>
      </c>
      <c r="F141" t="inlineStr">
        <is>
          <t>ÖSTERGÖTLANDS LÄN</t>
        </is>
      </c>
      <c r="G141" t="inlineStr">
        <is>
          <t>ÖDESHÖG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46001</v>
      </c>
      <c r="E142" s="1" t="n">
        <v>46237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46237</v>
      </c>
      <c r="F143" t="inlineStr">
        <is>
          <t>ÖSTERGÖTLANDS LÄN</t>
        </is>
      </c>
      <c r="G143" t="inlineStr">
        <is>
          <t>ÖDESHÖG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46237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46237</v>
      </c>
      <c r="F145" t="inlineStr">
        <is>
          <t>ÖSTERGÖTLANDS LÄN</t>
        </is>
      </c>
      <c r="G145" t="inlineStr">
        <is>
          <t>ÖDESHÖG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46237</v>
      </c>
      <c r="F146" t="inlineStr">
        <is>
          <t>ÖSTERGÖTLANDS LÄN</t>
        </is>
      </c>
      <c r="G146" t="inlineStr">
        <is>
          <t>ÖDESHÖG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46237</v>
      </c>
      <c r="F147" t="inlineStr">
        <is>
          <t>ÖSTERGÖTLANDS LÄN</t>
        </is>
      </c>
      <c r="G147" t="inlineStr">
        <is>
          <t>ÖDESHÖG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46237</v>
      </c>
      <c r="F148" t="inlineStr">
        <is>
          <t>ÖSTERGÖTLANDS LÄN</t>
        </is>
      </c>
      <c r="G148" t="inlineStr">
        <is>
          <t>ÖDESHÖG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46237</v>
      </c>
      <c r="F149" t="inlineStr">
        <is>
          <t>ÖSTERGÖTLANDS LÄN</t>
        </is>
      </c>
      <c r="G149" t="inlineStr">
        <is>
          <t>ÖDESHÖG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46237</v>
      </c>
      <c r="F150" t="inlineStr">
        <is>
          <t>ÖSTERGÖTLANDS LÄN</t>
        </is>
      </c>
      <c r="G150" t="inlineStr">
        <is>
          <t>ÖDESHÖG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46003</v>
      </c>
      <c r="E151" s="1" t="n">
        <v>46237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62801-2025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46008</v>
      </c>
      <c r="E152" s="1" t="n">
        <v>46237</v>
      </c>
      <c r="F152" t="inlineStr">
        <is>
          <t>ÖSTERGÖTLANDS LÄN</t>
        </is>
      </c>
      <c r="G152" t="inlineStr">
        <is>
          <t>ÖDESHÖG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46007</v>
      </c>
      <c r="E153" s="1" t="n">
        <v>46237</v>
      </c>
      <c r="F153" t="inlineStr">
        <is>
          <t>ÖSTERGÖTLANDS LÄN</t>
        </is>
      </c>
      <c r="G153" t="inlineStr">
        <is>
          <t>ÖDESHÖG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10335-2022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44623</v>
      </c>
      <c r="E154" s="1" t="n">
        <v>46237</v>
      </c>
      <c r="F154" t="inlineStr">
        <is>
          <t>ÖSTERGÖTLANDS LÄN</t>
        </is>
      </c>
      <c r="G154" t="inlineStr">
        <is>
          <t>ÖDESHÖG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45065</v>
      </c>
      <c r="E155" s="1" t="n">
        <v>46237</v>
      </c>
      <c r="F155" t="inlineStr">
        <is>
          <t>ÖSTERGÖTLANDS LÄN</t>
        </is>
      </c>
      <c r="G155" t="inlineStr">
        <is>
          <t>ÖDESHÖG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45519</v>
      </c>
      <c r="E156" s="1" t="n">
        <v>46237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45693</v>
      </c>
      <c r="E157" s="1" t="n">
        <v>46237</v>
      </c>
      <c r="F157" t="inlineStr">
        <is>
          <t>ÖSTERGÖTLANDS LÄN</t>
        </is>
      </c>
      <c r="G157" t="inlineStr">
        <is>
          <t>ÖDESHÖG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15813-2022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44664</v>
      </c>
      <c r="E158" s="1" t="n">
        <v>46237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46237</v>
      </c>
      <c r="F159" t="inlineStr">
        <is>
          <t>ÖSTERGÖTLANDS LÄN</t>
        </is>
      </c>
      <c r="G159" t="inlineStr">
        <is>
          <t>ÖDESHÖG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46021</v>
      </c>
      <c r="E160" s="1" t="n">
        <v>46237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64010-2025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46021</v>
      </c>
      <c r="E161" s="1" t="n">
        <v>46237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15.4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46237</v>
      </c>
      <c r="F162" t="inlineStr">
        <is>
          <t>ÖSTERGÖTLANDS LÄN</t>
        </is>
      </c>
      <c r="G162" t="inlineStr">
        <is>
          <t>ÖDESHÖG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46237</v>
      </c>
      <c r="F163" t="inlineStr">
        <is>
          <t>ÖSTERGÖTLANDS LÄN</t>
        </is>
      </c>
      <c r="G163" t="inlineStr">
        <is>
          <t>ÖDESHÖG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45973-2024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46237</v>
      </c>
      <c r="F164" t="inlineStr">
        <is>
          <t>ÖSTERGÖTLANDS LÄN</t>
        </is>
      </c>
      <c r="G164" t="inlineStr">
        <is>
          <t>ÖDESHÖG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46237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46237</v>
      </c>
      <c r="F166" t="inlineStr">
        <is>
          <t>ÖSTERGÖTLANDS LÄN</t>
        </is>
      </c>
      <c r="G166" t="inlineStr">
        <is>
          <t>ÖDESHÖG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46237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46237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46237</v>
      </c>
      <c r="F169" t="inlineStr">
        <is>
          <t>ÖSTERGÖTLANDS LÄN</t>
        </is>
      </c>
      <c r="G169" t="inlineStr">
        <is>
          <t>ÖDESHÖG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46237</v>
      </c>
      <c r="F170" t="inlineStr">
        <is>
          <t>ÖSTERGÖTLANDS LÄN</t>
        </is>
      </c>
      <c r="G170" t="inlineStr">
        <is>
          <t>ÖDESHÖG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46237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35229-2023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46237</v>
      </c>
      <c r="F172" t="inlineStr">
        <is>
          <t>ÖSTERGÖTLANDS LÄN</t>
        </is>
      </c>
      <c r="G172" t="inlineStr">
        <is>
          <t>ÖDESHÖG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45335</v>
      </c>
      <c r="E173" s="1" t="n">
        <v>46237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46220</v>
      </c>
      <c r="E174" s="1" t="n">
        <v>46237</v>
      </c>
      <c r="F174" t="inlineStr">
        <is>
          <t>ÖSTERGÖTLANDS LÄN</t>
        </is>
      </c>
      <c r="G174" t="inlineStr">
        <is>
          <t>ÖDESHÖG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61880-2021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44502</v>
      </c>
      <c r="E175" s="1" t="n">
        <v>46237</v>
      </c>
      <c r="F175" t="inlineStr">
        <is>
          <t>ÖSTERGÖTLANDS LÄN</t>
        </is>
      </c>
      <c r="G175" t="inlineStr">
        <is>
          <t>ÖDESHÖG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46237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45161</v>
      </c>
      <c r="E177" s="1" t="n">
        <v>46237</v>
      </c>
      <c r="F177" t="inlineStr">
        <is>
          <t>ÖSTERGÖTLANDS LÄN</t>
        </is>
      </c>
      <c r="G177" t="inlineStr">
        <is>
          <t>ÖDESHÖG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46237</v>
      </c>
      <c r="F178" t="inlineStr">
        <is>
          <t>ÖSTERGÖTLANDS LÄN</t>
        </is>
      </c>
      <c r="G178" t="inlineStr">
        <is>
          <t>ÖDESHÖG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46237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46237</v>
      </c>
      <c r="F180" t="inlineStr">
        <is>
          <t>ÖSTERGÖTLANDS LÄN</t>
        </is>
      </c>
      <c r="G180" t="inlineStr">
        <is>
          <t>ÖDESHÖG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46237</v>
      </c>
      <c r="F181" t="inlineStr">
        <is>
          <t>ÖSTERGÖTLANDS LÄN</t>
        </is>
      </c>
      <c r="G181" t="inlineStr">
        <is>
          <t>ÖDESHÖG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46237</v>
      </c>
      <c r="F182" t="inlineStr">
        <is>
          <t>ÖSTERGÖTLANDS LÄN</t>
        </is>
      </c>
      <c r="G182" t="inlineStr">
        <is>
          <t>ÖDESHÖG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46237</v>
      </c>
      <c r="F183" t="inlineStr">
        <is>
          <t>ÖSTERGÖTLANDS LÄN</t>
        </is>
      </c>
      <c r="G183" t="inlineStr">
        <is>
          <t>ÖDESHÖG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45328</v>
      </c>
      <c r="E184" s="1" t="n">
        <v>46237</v>
      </c>
      <c r="F184" t="inlineStr">
        <is>
          <t>ÖSTERGÖTLANDS LÄN</t>
        </is>
      </c>
      <c r="G184" t="inlineStr">
        <is>
          <t>ÖDESHÖG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46237</v>
      </c>
      <c r="F185" t="inlineStr">
        <is>
          <t>ÖSTERGÖTLANDS LÄN</t>
        </is>
      </c>
      <c r="G185" t="inlineStr">
        <is>
          <t>ÖDESHÖG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46237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46184</v>
      </c>
      <c r="E187" s="1" t="n">
        <v>46237</v>
      </c>
      <c r="F187" t="inlineStr">
        <is>
          <t>ÖSTERGÖTLANDS LÄN</t>
        </is>
      </c>
      <c r="G187" t="inlineStr">
        <is>
          <t>ÖDESHÖG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45671</v>
      </c>
      <c r="E188" s="1" t="n">
        <v>46237</v>
      </c>
      <c r="F188" t="inlineStr">
        <is>
          <t>ÖSTERGÖTLANDS LÄN</t>
        </is>
      </c>
      <c r="G188" t="inlineStr">
        <is>
          <t>ÖDESHÖG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46237</v>
      </c>
      <c r="F189" t="inlineStr">
        <is>
          <t>ÖSTERGÖTLANDS LÄN</t>
        </is>
      </c>
      <c r="G189" t="inlineStr">
        <is>
          <t>ÖDESHÖG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15909-2024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45405</v>
      </c>
      <c r="E190" s="1" t="n">
        <v>46237</v>
      </c>
      <c r="F190" t="inlineStr">
        <is>
          <t>ÖSTERGÖTLANDS LÄN</t>
        </is>
      </c>
      <c r="G190" t="inlineStr">
        <is>
          <t>ÖDESHÖG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46237</v>
      </c>
      <c r="F191" t="inlineStr">
        <is>
          <t>ÖSTERGÖTLANDS LÄN</t>
        </is>
      </c>
      <c r="G191" t="inlineStr">
        <is>
          <t>ÖDESHÖG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46062</v>
      </c>
      <c r="E192" s="1" t="n">
        <v>46237</v>
      </c>
      <c r="F192" t="inlineStr">
        <is>
          <t>ÖSTERGÖTLANDS LÄN</t>
        </is>
      </c>
      <c r="G192" t="inlineStr">
        <is>
          <t>ÖDESHÖG</t>
        </is>
      </c>
      <c r="I192" t="n">
        <v>13.4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45188</v>
      </c>
      <c r="E193" s="1" t="n">
        <v>46237</v>
      </c>
      <c r="F193" t="inlineStr">
        <is>
          <t>ÖSTERGÖTLANDS LÄN</t>
        </is>
      </c>
      <c r="G193" t="inlineStr">
        <is>
          <t>ÖDESHÖG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45512</v>
      </c>
      <c r="E194" s="1" t="n">
        <v>46237</v>
      </c>
      <c r="F194" t="inlineStr">
        <is>
          <t>ÖSTERGÖTLANDS LÄN</t>
        </is>
      </c>
      <c r="G194" t="inlineStr">
        <is>
          <t>ÖDESHÖG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45316</v>
      </c>
      <c r="E195" s="1" t="n">
        <v>46237</v>
      </c>
      <c r="F195" t="inlineStr">
        <is>
          <t>ÖSTERGÖTLANDS LÄN</t>
        </is>
      </c>
      <c r="G195" t="inlineStr">
        <is>
          <t>ÖDESHÖG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46237</v>
      </c>
      <c r="F196" t="inlineStr">
        <is>
          <t>ÖSTERGÖTLANDS LÄN</t>
        </is>
      </c>
      <c r="G196" t="inlineStr">
        <is>
          <t>ÖDESHÖG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45407</v>
      </c>
      <c r="E197" s="1" t="n">
        <v>46237</v>
      </c>
      <c r="F197" t="inlineStr">
        <is>
          <t>ÖSTERGÖTLANDS LÄN</t>
        </is>
      </c>
      <c r="G197" t="inlineStr">
        <is>
          <t>ÖDESHÖG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39190-2023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45166</v>
      </c>
      <c r="E198" s="1" t="n">
        <v>46237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45027</v>
      </c>
      <c r="E199" s="1" t="n">
        <v>46237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45163</v>
      </c>
      <c r="E200" s="1" t="n">
        <v>46237</v>
      </c>
      <c r="F200" t="inlineStr">
        <is>
          <t>ÖSTERGÖTLANDS LÄN</t>
        </is>
      </c>
      <c r="G200" t="inlineStr">
        <is>
          <t>ÖDESHÖG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45313</v>
      </c>
      <c r="E201" s="1" t="n">
        <v>46237</v>
      </c>
      <c r="F201" t="inlineStr">
        <is>
          <t>ÖSTERGÖTLANDS LÄN</t>
        </is>
      </c>
      <c r="G201" t="inlineStr">
        <is>
          <t>ÖDESHÖG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46237</v>
      </c>
      <c r="F202" t="inlineStr">
        <is>
          <t>ÖSTERGÖTLANDS LÄN</t>
        </is>
      </c>
      <c r="G202" t="inlineStr">
        <is>
          <t>ÖDESHÖG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46092</v>
      </c>
      <c r="E203" s="1" t="n">
        <v>46237</v>
      </c>
      <c r="F203" t="inlineStr">
        <is>
          <t>ÖSTERGÖTLANDS LÄN</t>
        </is>
      </c>
      <c r="G203" t="inlineStr">
        <is>
          <t>ÖDESHÖG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46237</v>
      </c>
      <c r="F204" t="inlineStr">
        <is>
          <t>ÖSTERGÖTLANDS LÄN</t>
        </is>
      </c>
      <c r="G204" t="inlineStr">
        <is>
          <t>ÖDESHÖG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46092</v>
      </c>
      <c r="E205" s="1" t="n">
        <v>46237</v>
      </c>
      <c r="F205" t="inlineStr">
        <is>
          <t>ÖSTERGÖTLANDS LÄN</t>
        </is>
      </c>
      <c r="G205" t="inlineStr">
        <is>
          <t>ÖDESHÖG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46237</v>
      </c>
      <c r="F206" t="inlineStr">
        <is>
          <t>ÖSTERGÖTLANDS LÄN</t>
        </is>
      </c>
      <c r="G206" t="inlineStr">
        <is>
          <t>ÖDESHÖG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46237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46101</v>
      </c>
      <c r="E208" s="1" t="n">
        <v>46237</v>
      </c>
      <c r="F208" t="inlineStr">
        <is>
          <t>ÖSTERGÖTLANDS LÄN</t>
        </is>
      </c>
      <c r="G208" t="inlineStr">
        <is>
          <t>ÖDESHÖG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46237</v>
      </c>
      <c r="F209" t="inlineStr">
        <is>
          <t>ÖSTERGÖTLANDS LÄN</t>
        </is>
      </c>
      <c r="G209" t="inlineStr">
        <is>
          <t>ÖDESHÖG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46237</v>
      </c>
      <c r="F210" t="inlineStr">
        <is>
          <t>ÖSTERGÖTLANDS LÄN</t>
        </is>
      </c>
      <c r="G210" t="inlineStr">
        <is>
          <t>ÖDESHÖG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46237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Allmännings- och besparingsskogar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46237</v>
      </c>
      <c r="F212" t="inlineStr">
        <is>
          <t>ÖSTERGÖTLANDS LÄN</t>
        </is>
      </c>
      <c r="G212" t="inlineStr">
        <is>
          <t>ÖDESHÖG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16402-2026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46237</v>
      </c>
      <c r="F213" t="inlineStr">
        <is>
          <t>ÖSTERGÖTLANDS LÄN</t>
        </is>
      </c>
      <c r="G213" t="inlineStr">
        <is>
          <t>ÖDESHÖG</t>
        </is>
      </c>
      <c r="H213" t="inlineStr">
        <is>
          <t>Allmännings- och besparingsskogar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45516</v>
      </c>
      <c r="E214" s="1" t="n">
        <v>46237</v>
      </c>
      <c r="F214" t="inlineStr">
        <is>
          <t>ÖSTERGÖTLANDS LÄN</t>
        </is>
      </c>
      <c r="G214" t="inlineStr">
        <is>
          <t>ÖDESHÖG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46237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43263-2023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45183</v>
      </c>
      <c r="E216" s="1" t="n">
        <v>46237</v>
      </c>
      <c r="F216" t="inlineStr">
        <is>
          <t>ÖSTERGÖTLANDS LÄN</t>
        </is>
      </c>
      <c r="G216" t="inlineStr">
        <is>
          <t>ÖDESHÖG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45161</v>
      </c>
      <c r="E217" s="1" t="n">
        <v>46237</v>
      </c>
      <c r="F217" t="inlineStr">
        <is>
          <t>ÖSTERGÖTLANDS LÄN</t>
        </is>
      </c>
      <c r="G217" t="inlineStr">
        <is>
          <t>ÖDESHÖG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16370-2026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46111</v>
      </c>
      <c r="E218" s="1" t="n">
        <v>46237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44698</v>
      </c>
      <c r="E219" s="1" t="n">
        <v>46237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44700</v>
      </c>
      <c r="E220" s="1" t="n">
        <v>46237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Allmännings- och besparingsskogar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46237</v>
      </c>
      <c r="F221" t="inlineStr">
        <is>
          <t>ÖSTERGÖTLANDS LÄN</t>
        </is>
      </c>
      <c r="G221" t="inlineStr">
        <is>
          <t>ÖDESHÖG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46237</v>
      </c>
      <c r="F222" t="inlineStr">
        <is>
          <t>ÖSTERGÖTLANDS LÄN</t>
        </is>
      </c>
      <c r="G222" t="inlineStr">
        <is>
          <t>ÖDESHÖG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46237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45782</v>
      </c>
      <c r="E224" s="1" t="n">
        <v>46237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46237</v>
      </c>
      <c r="F225" t="inlineStr">
        <is>
          <t>ÖSTERGÖTLANDS LÄN</t>
        </is>
      </c>
      <c r="G225" t="inlineStr">
        <is>
          <t>ÖDESHÖG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46109</v>
      </c>
      <c r="E226" s="1" t="n">
        <v>46237</v>
      </c>
      <c r="F226" t="inlineStr">
        <is>
          <t>ÖSTERGÖTLANDS LÄN</t>
        </is>
      </c>
      <c r="G226" t="inlineStr">
        <is>
          <t>ÖDESHÖG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46109</v>
      </c>
      <c r="E227" s="1" t="n">
        <v>46237</v>
      </c>
      <c r="F227" t="inlineStr">
        <is>
          <t>ÖSTERGÖTLANDS LÄN</t>
        </is>
      </c>
      <c r="G227" t="inlineStr">
        <is>
          <t>ÖDESHÖG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45748</v>
      </c>
      <c r="E228" s="1" t="n">
        <v>46237</v>
      </c>
      <c r="F228" t="inlineStr">
        <is>
          <t>ÖSTERGÖTLANDS LÄN</t>
        </is>
      </c>
      <c r="G228" t="inlineStr">
        <is>
          <t>ÖDESHÖG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46122</v>
      </c>
      <c r="E229" s="1" t="n">
        <v>46237</v>
      </c>
      <c r="F229" t="inlineStr">
        <is>
          <t>ÖSTERGÖTLANDS LÄN</t>
        </is>
      </c>
      <c r="G229" t="inlineStr">
        <is>
          <t>ÖDESHÖG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46237</v>
      </c>
      <c r="F230" t="inlineStr">
        <is>
          <t>ÖSTERGÖTLANDS LÄN</t>
        </is>
      </c>
      <c r="G230" t="inlineStr">
        <is>
          <t>ÖDESHÖG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45160</v>
      </c>
      <c r="E231" s="1" t="n">
        <v>46237</v>
      </c>
      <c r="F231" t="inlineStr">
        <is>
          <t>ÖSTERGÖTLANDS LÄN</t>
        </is>
      </c>
      <c r="G231" t="inlineStr">
        <is>
          <t>ÖDESHÖG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45699</v>
      </c>
      <c r="E232" s="1" t="n">
        <v>46237</v>
      </c>
      <c r="F232" t="inlineStr">
        <is>
          <t>ÖSTERGÖTLANDS LÄN</t>
        </is>
      </c>
      <c r="G232" t="inlineStr">
        <is>
          <t>ÖDESHÖG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44938</v>
      </c>
      <c r="E233" s="1" t="n">
        <v>46237</v>
      </c>
      <c r="F233" t="inlineStr">
        <is>
          <t>ÖSTERGÖTLANDS LÄN</t>
        </is>
      </c>
      <c r="G233" t="inlineStr">
        <is>
          <t>ÖDESHÖG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46237</v>
      </c>
      <c r="F234" t="inlineStr">
        <is>
          <t>ÖSTERGÖTLANDS LÄN</t>
        </is>
      </c>
      <c r="G234" t="inlineStr">
        <is>
          <t>ÖDESHÖG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46237</v>
      </c>
      <c r="F235" t="inlineStr">
        <is>
          <t>ÖSTERGÖTLANDS LÄN</t>
        </is>
      </c>
      <c r="G235" t="inlineStr">
        <is>
          <t>ÖDESHÖG</t>
        </is>
      </c>
      <c r="H235" t="inlineStr">
        <is>
          <t>Allmännings- och besparingsskogar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46237</v>
      </c>
      <c r="F236" t="inlineStr">
        <is>
          <t>ÖSTERGÖTLANDS LÄN</t>
        </is>
      </c>
      <c r="G236" t="inlineStr">
        <is>
          <t>ÖDESHÖG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45217</v>
      </c>
      <c r="E237" s="1" t="n">
        <v>46237</v>
      </c>
      <c r="F237" t="inlineStr">
        <is>
          <t>ÖSTERGÖTLANDS LÄN</t>
        </is>
      </c>
      <c r="G237" t="inlineStr">
        <is>
          <t>ÖDESHÖG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45163</v>
      </c>
      <c r="E238" s="1" t="n">
        <v>46237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46237</v>
      </c>
      <c r="F239" t="inlineStr">
        <is>
          <t>ÖSTERGÖTLANDS LÄN</t>
        </is>
      </c>
      <c r="G239" t="inlineStr">
        <is>
          <t>ÖDESHÖG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45412</v>
      </c>
      <c r="E240" s="1" t="n">
        <v>46237</v>
      </c>
      <c r="F240" t="inlineStr">
        <is>
          <t>ÖSTERGÖTLANDS LÄN</t>
        </is>
      </c>
      <c r="G240" t="inlineStr">
        <is>
          <t>ÖDESHÖG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30600-2025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46237</v>
      </c>
      <c r="F241" t="inlineStr">
        <is>
          <t>ÖSTERGÖTLANDS LÄN</t>
        </is>
      </c>
      <c r="G241" t="inlineStr">
        <is>
          <t>ÖDESHÖG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46237</v>
      </c>
      <c r="F242" t="inlineStr">
        <is>
          <t>ÖSTERGÖTLANDS LÄN</t>
        </is>
      </c>
      <c r="G242" t="inlineStr">
        <is>
          <t>ÖDESHÖG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46237</v>
      </c>
      <c r="F243" t="inlineStr">
        <is>
          <t>ÖSTERGÖTLANDS LÄN</t>
        </is>
      </c>
      <c r="G243" t="inlineStr">
        <is>
          <t>ÖDESHÖG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46237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46237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2026-08-03T01:55:26Z</dcterms:created>
  <dcterms:modified xmlns:dcterms="http://purl.org/dc/terms/" xmlns:xsi="http://www.w3.org/2001/XMLSchema-instance" xsi:type="dcterms:W3CDTF">2026-08-03T01:55:26Z</dcterms:modified>
</cp:coreProperties>
</file>