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45505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45505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45505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45505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45505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16015-2021</t>
        </is>
      </c>
      <c r="B7" s="1" t="n">
        <v>44287</v>
      </c>
      <c r="C7" s="1" t="n">
        <v>45505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</v>
      </c>
      <c r="C8" s="1" t="n">
        <v>45505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25868-2021</t>
        </is>
      </c>
      <c r="B9" s="1" t="n">
        <v>44344</v>
      </c>
      <c r="C9" s="1" t="n">
        <v>45505</v>
      </c>
      <c r="D9" t="inlineStr">
        <is>
          <t>ÖSTERGÖTLANDS LÄN</t>
        </is>
      </c>
      <c r="E9" t="inlineStr">
        <is>
          <t>ÖDESHÖG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HYPERLINK("https://klasma.github.io/Logging_0509/artfynd/A 25868-2021 artfynd.xlsx", "A 25868-2021")</f>
        <v/>
      </c>
      <c r="T9">
        <f>HYPERLINK("https://klasma.github.io/Logging_0509/kartor/A 25868-2021 karta.png", "A 25868-2021")</f>
        <v/>
      </c>
      <c r="V9">
        <f>HYPERLINK("https://klasma.github.io/Logging_0509/klagomål/A 25868-2021 FSC-klagomål.docx", "A 25868-2021")</f>
        <v/>
      </c>
      <c r="W9">
        <f>HYPERLINK("https://klasma.github.io/Logging_0509/klagomålsmail/A 25868-2021 FSC-klagomål mail.docx", "A 25868-2021")</f>
        <v/>
      </c>
      <c r="X9">
        <f>HYPERLINK("https://klasma.github.io/Logging_0509/tillsyn/A 25868-2021 tillsynsbegäran.docx", "A 25868-2021")</f>
        <v/>
      </c>
      <c r="Y9">
        <f>HYPERLINK("https://klasma.github.io/Logging_0509/tillsynsmail/A 25868-2021 tillsynsbegäran mail.docx", "A 25868-2021")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45505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8255-2023</t>
        </is>
      </c>
      <c r="B11" s="1" t="n">
        <v>44974</v>
      </c>
      <c r="C11" s="1" t="n">
        <v>45505</v>
      </c>
      <c r="D11" t="inlineStr">
        <is>
          <t>ÖSTERGÖTLANDS LÄN</t>
        </is>
      </c>
      <c r="E11" t="inlineStr">
        <is>
          <t>ÖDESHÖG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8255-2023 artfynd.xlsx", "A 8255-2023")</f>
        <v/>
      </c>
      <c r="T11">
        <f>HYPERLINK("https://klasma.github.io/Logging_0509/kartor/A 8255-2023 karta.png", "A 8255-2023")</f>
        <v/>
      </c>
      <c r="V11">
        <f>HYPERLINK("https://klasma.github.io/Logging_0509/klagomål/A 8255-2023 FSC-klagomål.docx", "A 8255-2023")</f>
        <v/>
      </c>
      <c r="W11">
        <f>HYPERLINK("https://klasma.github.io/Logging_0509/klagomålsmail/A 8255-2023 FSC-klagomål mail.docx", "A 8255-2023")</f>
        <v/>
      </c>
      <c r="X11">
        <f>HYPERLINK("https://klasma.github.io/Logging_0509/tillsyn/A 8255-2023 tillsynsbegäran.docx", "A 8255-2023")</f>
        <v/>
      </c>
      <c r="Y11">
        <f>HYPERLINK("https://klasma.github.io/Logging_0509/tillsynsmail/A 8255-2023 tillsynsbegäran mail.docx", "A 8255-2023")</f>
        <v/>
      </c>
    </row>
    <row r="12" ht="15" customHeight="1">
      <c r="A12" t="inlineStr">
        <is>
          <t>A 16169-2023</t>
        </is>
      </c>
      <c r="B12" s="1" t="n">
        <v>45027</v>
      </c>
      <c r="C12" s="1" t="n">
        <v>45505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16169-2023 artfynd.xlsx", "A 16169-2023")</f>
        <v/>
      </c>
      <c r="T12">
        <f>HYPERLINK("https://klasma.github.io/Logging_0509/kartor/A 16169-2023 karta.png", "A 16169-2023")</f>
        <v/>
      </c>
      <c r="V12">
        <f>HYPERLINK("https://klasma.github.io/Logging_0509/klagomål/A 16169-2023 FSC-klagomål.docx", "A 16169-2023")</f>
        <v/>
      </c>
      <c r="W12">
        <f>HYPERLINK("https://klasma.github.io/Logging_0509/klagomålsmail/A 16169-2023 FSC-klagomål mail.docx", "A 16169-2023")</f>
        <v/>
      </c>
      <c r="X12">
        <f>HYPERLINK("https://klasma.github.io/Logging_0509/tillsyn/A 16169-2023 tillsynsbegäran.docx", "A 16169-2023")</f>
        <v/>
      </c>
      <c r="Y12">
        <f>HYPERLINK("https://klasma.github.io/Logging_0509/tillsynsmail/A 16169-2023 tillsynsbegäran mail.docx", "A 16169-2023")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45505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17931-2019</t>
        </is>
      </c>
      <c r="B14" s="1" t="n">
        <v>43557</v>
      </c>
      <c r="C14" s="1" t="n">
        <v>45505</v>
      </c>
      <c r="D14" t="inlineStr">
        <is>
          <t>ÖSTERGÖTLANDS LÄN</t>
        </is>
      </c>
      <c r="E14" t="inlineStr">
        <is>
          <t>ÖDESHÖG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18597-2019</t>
        </is>
      </c>
      <c r="B15" s="1" t="n">
        <v>43560</v>
      </c>
      <c r="C15" s="1" t="n">
        <v>45505</v>
      </c>
      <c r="D15" t="inlineStr">
        <is>
          <t>ÖSTERGÖTLANDS LÄN</t>
        </is>
      </c>
      <c r="E15" t="inlineStr">
        <is>
          <t>ÖDESHÖG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18780-2019</t>
        </is>
      </c>
      <c r="B16" s="1" t="n">
        <v>43561</v>
      </c>
      <c r="C16" s="1" t="n">
        <v>45505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18779-2019</t>
        </is>
      </c>
      <c r="B17" s="1" t="n">
        <v>43561</v>
      </c>
      <c r="C17" s="1" t="n">
        <v>45505</v>
      </c>
      <c r="D17" t="inlineStr">
        <is>
          <t>ÖSTERGÖTLANDS LÄN</t>
        </is>
      </c>
      <c r="E17" t="inlineStr">
        <is>
          <t>ÖDESHÖG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22831-2019</t>
        </is>
      </c>
      <c r="B18" s="1" t="n">
        <v>43591</v>
      </c>
      <c r="C18" s="1" t="n">
        <v>45505</v>
      </c>
      <c r="D18" t="inlineStr">
        <is>
          <t>ÖSTERGÖTLANDS LÄN</t>
        </is>
      </c>
      <c r="E18" t="inlineStr">
        <is>
          <t>ÖDESHÖG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23761-2019</t>
        </is>
      </c>
      <c r="B19" s="1" t="n">
        <v>43594</v>
      </c>
      <c r="C19" s="1" t="n">
        <v>45505</v>
      </c>
      <c r="D19" t="inlineStr">
        <is>
          <t>ÖSTERGÖTLANDS LÄN</t>
        </is>
      </c>
      <c r="E19" t="inlineStr">
        <is>
          <t>ÖDESHÖG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23765-2019</t>
        </is>
      </c>
      <c r="B20" s="1" t="n">
        <v>43594</v>
      </c>
      <c r="C20" s="1" t="n">
        <v>45505</v>
      </c>
      <c r="D20" t="inlineStr">
        <is>
          <t>ÖSTERGÖTLANDS LÄN</t>
        </is>
      </c>
      <c r="E20" t="inlineStr">
        <is>
          <t>ÖDESHÖG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24680-2019</t>
        </is>
      </c>
      <c r="B21" s="1" t="n">
        <v>43601</v>
      </c>
      <c r="C21" s="1" t="n">
        <v>45505</v>
      </c>
      <c r="D21" t="inlineStr">
        <is>
          <t>ÖSTERGÖTLANDS LÄN</t>
        </is>
      </c>
      <c r="E21" t="inlineStr">
        <is>
          <t>ÖDESHÖG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24718-2019</t>
        </is>
      </c>
      <c r="B22" s="1" t="n">
        <v>43601</v>
      </c>
      <c r="C22" s="1" t="n">
        <v>45505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25639-2019</t>
        </is>
      </c>
      <c r="B23" s="1" t="n">
        <v>43607</v>
      </c>
      <c r="C23" s="1" t="n">
        <v>45505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28117-2019</t>
        </is>
      </c>
      <c r="B24" s="1" t="n">
        <v>43621</v>
      </c>
      <c r="C24" s="1" t="n">
        <v>45505</v>
      </c>
      <c r="D24" t="inlineStr">
        <is>
          <t>ÖSTERGÖTLANDS LÄN</t>
        </is>
      </c>
      <c r="E24" t="inlineStr">
        <is>
          <t>ÖDESHÖG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28120-2019</t>
        </is>
      </c>
      <c r="B25" s="1" t="n">
        <v>43621</v>
      </c>
      <c r="C25" s="1" t="n">
        <v>45505</v>
      </c>
      <c r="D25" t="inlineStr">
        <is>
          <t>ÖSTERGÖTLANDS LÄN</t>
        </is>
      </c>
      <c r="E25" t="inlineStr">
        <is>
          <t>ÖDESHÖG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28451-2019</t>
        </is>
      </c>
      <c r="B26" s="1" t="n">
        <v>43626</v>
      </c>
      <c r="C26" s="1" t="n">
        <v>45505</v>
      </c>
      <c r="D26" t="inlineStr">
        <is>
          <t>ÖSTERGÖTLANDS LÄN</t>
        </is>
      </c>
      <c r="E26" t="inlineStr">
        <is>
          <t>ÖDESHÖG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29734-2019</t>
        </is>
      </c>
      <c r="B27" s="1" t="n">
        <v>43630</v>
      </c>
      <c r="C27" s="1" t="n">
        <v>45505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29736-2019</t>
        </is>
      </c>
      <c r="B28" s="1" t="n">
        <v>43630</v>
      </c>
      <c r="C28" s="1" t="n">
        <v>45505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29735-2019</t>
        </is>
      </c>
      <c r="B29" s="1" t="n">
        <v>43630</v>
      </c>
      <c r="C29" s="1" t="n">
        <v>45505</v>
      </c>
      <c r="D29" t="inlineStr">
        <is>
          <t>ÖSTERGÖTLANDS LÄN</t>
        </is>
      </c>
      <c r="E29" t="inlineStr">
        <is>
          <t>ÖDESHÖG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30572-2019</t>
        </is>
      </c>
      <c r="B30" s="1" t="n">
        <v>43635</v>
      </c>
      <c r="C30" s="1" t="n">
        <v>45505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30553-2019</t>
        </is>
      </c>
      <c r="B31" s="1" t="n">
        <v>43635</v>
      </c>
      <c r="C31" s="1" t="n">
        <v>45505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30785-2019</t>
        </is>
      </c>
      <c r="B32" s="1" t="n">
        <v>43636</v>
      </c>
      <c r="C32" s="1" t="n">
        <v>45505</v>
      </c>
      <c r="D32" t="inlineStr">
        <is>
          <t>ÖSTERGÖTLANDS LÄN</t>
        </is>
      </c>
      <c r="E32" t="inlineStr">
        <is>
          <t>ÖDESHÖG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38901-2019</t>
        </is>
      </c>
      <c r="B33" s="1" t="n">
        <v>43689</v>
      </c>
      <c r="C33" s="1" t="n">
        <v>45505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40608-2019</t>
        </is>
      </c>
      <c r="B34" s="1" t="n">
        <v>43696</v>
      </c>
      <c r="C34" s="1" t="n">
        <v>45505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42593-2019</t>
        </is>
      </c>
      <c r="B35" s="1" t="n">
        <v>43699</v>
      </c>
      <c r="C35" s="1" t="n">
        <v>45505</v>
      </c>
      <c r="D35" t="inlineStr">
        <is>
          <t>ÖSTERGÖTLANDS LÄN</t>
        </is>
      </c>
      <c r="E35" t="inlineStr">
        <is>
          <t>ÖDESHÖG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45152-2019</t>
        </is>
      </c>
      <c r="B36" s="1" t="n">
        <v>43699</v>
      </c>
      <c r="C36" s="1" t="n">
        <v>45505</v>
      </c>
      <c r="D36" t="inlineStr">
        <is>
          <t>ÖSTERGÖTLANDS LÄN</t>
        </is>
      </c>
      <c r="E36" t="inlineStr">
        <is>
          <t>ÖDESHÖG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41932-2019</t>
        </is>
      </c>
      <c r="B37" s="1" t="n">
        <v>43700</v>
      </c>
      <c r="C37" s="1" t="n">
        <v>45505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41938-2019</t>
        </is>
      </c>
      <c r="B38" s="1" t="n">
        <v>43700</v>
      </c>
      <c r="C38" s="1" t="n">
        <v>45505</v>
      </c>
      <c r="D38" t="inlineStr">
        <is>
          <t>ÖSTERGÖTLANDS LÄN</t>
        </is>
      </c>
      <c r="E38" t="inlineStr">
        <is>
          <t>ÖDESHÖG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43641-2019</t>
        </is>
      </c>
      <c r="B39" s="1" t="n">
        <v>43707</v>
      </c>
      <c r="C39" s="1" t="n">
        <v>45505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44445-2019</t>
        </is>
      </c>
      <c r="B40" s="1" t="n">
        <v>43711</v>
      </c>
      <c r="C40" s="1" t="n">
        <v>45505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44562-2019</t>
        </is>
      </c>
      <c r="B41" s="1" t="n">
        <v>43711</v>
      </c>
      <c r="C41" s="1" t="n">
        <v>45505</v>
      </c>
      <c r="D41" t="inlineStr">
        <is>
          <t>ÖSTERGÖTLANDS LÄN</t>
        </is>
      </c>
      <c r="E41" t="inlineStr">
        <is>
          <t>ÖDESHÖG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48666-2019</t>
        </is>
      </c>
      <c r="B42" s="1" t="n">
        <v>43728</v>
      </c>
      <c r="C42" s="1" t="n">
        <v>45505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48669-2019</t>
        </is>
      </c>
      <c r="B43" s="1" t="n">
        <v>43728</v>
      </c>
      <c r="C43" s="1" t="n">
        <v>45505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49505-2019</t>
        </is>
      </c>
      <c r="B44" s="1" t="n">
        <v>43732</v>
      </c>
      <c r="C44" s="1" t="n">
        <v>45505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49532-2019</t>
        </is>
      </c>
      <c r="B45" s="1" t="n">
        <v>43732</v>
      </c>
      <c r="C45" s="1" t="n">
        <v>45505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49508-2019</t>
        </is>
      </c>
      <c r="B46" s="1" t="n">
        <v>43732</v>
      </c>
      <c r="C46" s="1" t="n">
        <v>45505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49480-2019</t>
        </is>
      </c>
      <c r="B47" s="1" t="n">
        <v>43732</v>
      </c>
      <c r="C47" s="1" t="n">
        <v>45505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52150-2019</t>
        </is>
      </c>
      <c r="B48" s="1" t="n">
        <v>43742</v>
      </c>
      <c r="C48" s="1" t="n">
        <v>45505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53090-2019</t>
        </is>
      </c>
      <c r="B49" s="1" t="n">
        <v>43747</v>
      </c>
      <c r="C49" s="1" t="n">
        <v>45505</v>
      </c>
      <c r="D49" t="inlineStr">
        <is>
          <t>ÖSTERGÖTLANDS LÄN</t>
        </is>
      </c>
      <c r="E49" t="inlineStr">
        <is>
          <t>ÖDESHÖG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56279-2019</t>
        </is>
      </c>
      <c r="B50" s="1" t="n">
        <v>43762</v>
      </c>
      <c r="C50" s="1" t="n">
        <v>45505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60279-2019</t>
        </is>
      </c>
      <c r="B51" s="1" t="n">
        <v>43780</v>
      </c>
      <c r="C51" s="1" t="n">
        <v>45505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61406-2019</t>
        </is>
      </c>
      <c r="B52" s="1" t="n">
        <v>43783</v>
      </c>
      <c r="C52" s="1" t="n">
        <v>45505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61422-2019</t>
        </is>
      </c>
      <c r="B53" s="1" t="n">
        <v>43783</v>
      </c>
      <c r="C53" s="1" t="n">
        <v>45505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63017-2019</t>
        </is>
      </c>
      <c r="B54" s="1" t="n">
        <v>43791</v>
      </c>
      <c r="C54" s="1" t="n">
        <v>45505</v>
      </c>
      <c r="D54" t="inlineStr">
        <is>
          <t>ÖSTERGÖTLANDS LÄN</t>
        </is>
      </c>
      <c r="E54" t="inlineStr">
        <is>
          <t>ÖDESHÖG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64447-2019</t>
        </is>
      </c>
      <c r="B55" s="1" t="n">
        <v>43797</v>
      </c>
      <c r="C55" s="1" t="n">
        <v>45505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68926-2019</t>
        </is>
      </c>
      <c r="B56" s="1" t="n">
        <v>43822</v>
      </c>
      <c r="C56" s="1" t="n">
        <v>45505</v>
      </c>
      <c r="D56" t="inlineStr">
        <is>
          <t>ÖSTERGÖTLANDS LÄN</t>
        </is>
      </c>
      <c r="E56" t="inlineStr">
        <is>
          <t>ÖDESHÖG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69112-2019</t>
        </is>
      </c>
      <c r="B57" s="1" t="n">
        <v>43826</v>
      </c>
      <c r="C57" s="1" t="n">
        <v>45505</v>
      </c>
      <c r="D57" t="inlineStr">
        <is>
          <t>ÖSTERGÖTLANDS LÄN</t>
        </is>
      </c>
      <c r="E57" t="inlineStr">
        <is>
          <t>ÖDESHÖG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1499-2020</t>
        </is>
      </c>
      <c r="B58" s="1" t="n">
        <v>43843</v>
      </c>
      <c r="C58" s="1" t="n">
        <v>45505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3946-2020</t>
        </is>
      </c>
      <c r="B59" s="1" t="n">
        <v>43854</v>
      </c>
      <c r="C59" s="1" t="n">
        <v>45505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4720-2020</t>
        </is>
      </c>
      <c r="B60" s="1" t="n">
        <v>43858</v>
      </c>
      <c r="C60" s="1" t="n">
        <v>45505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4780-2020</t>
        </is>
      </c>
      <c r="B61" s="1" t="n">
        <v>43859</v>
      </c>
      <c r="C61" s="1" t="n">
        <v>45505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6627-2020</t>
        </is>
      </c>
      <c r="B62" s="1" t="n">
        <v>43867</v>
      </c>
      <c r="C62" s="1" t="n">
        <v>45505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6624-2020</t>
        </is>
      </c>
      <c r="B63" s="1" t="n">
        <v>43867</v>
      </c>
      <c r="C63" s="1" t="n">
        <v>45505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6956-2020</t>
        </is>
      </c>
      <c r="B64" s="1" t="n">
        <v>43868</v>
      </c>
      <c r="C64" s="1" t="n">
        <v>45505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6958-2020</t>
        </is>
      </c>
      <c r="B65" s="1" t="n">
        <v>43868</v>
      </c>
      <c r="C65" s="1" t="n">
        <v>45505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8906-2020</t>
        </is>
      </c>
      <c r="B66" s="1" t="n">
        <v>43878</v>
      </c>
      <c r="C66" s="1" t="n">
        <v>45505</v>
      </c>
      <c r="D66" t="inlineStr">
        <is>
          <t>ÖSTERGÖTLANDS LÄN</t>
        </is>
      </c>
      <c r="E66" t="inlineStr">
        <is>
          <t>ÖDESHÖG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10043-2020</t>
        </is>
      </c>
      <c r="B67" s="1" t="n">
        <v>43882</v>
      </c>
      <c r="C67" s="1" t="n">
        <v>45505</v>
      </c>
      <c r="D67" t="inlineStr">
        <is>
          <t>ÖSTERGÖTLANDS LÄN</t>
        </is>
      </c>
      <c r="E67" t="inlineStr">
        <is>
          <t>ÖDESHÖG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21181-2020</t>
        </is>
      </c>
      <c r="B68" s="1" t="n">
        <v>43951</v>
      </c>
      <c r="C68" s="1" t="n">
        <v>45505</v>
      </c>
      <c r="D68" t="inlineStr">
        <is>
          <t>ÖSTERGÖTLANDS LÄN</t>
        </is>
      </c>
      <c r="E68" t="inlineStr">
        <is>
          <t>ÖDESHÖG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21883-2020</t>
        </is>
      </c>
      <c r="B69" s="1" t="n">
        <v>43958</v>
      </c>
      <c r="C69" s="1" t="n">
        <v>45505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21886-2020</t>
        </is>
      </c>
      <c r="B70" s="1" t="n">
        <v>43958</v>
      </c>
      <c r="C70" s="1" t="n">
        <v>45505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21881-2020</t>
        </is>
      </c>
      <c r="B71" s="1" t="n">
        <v>43958</v>
      </c>
      <c r="C71" s="1" t="n">
        <v>45505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22675-2020</t>
        </is>
      </c>
      <c r="B72" s="1" t="n">
        <v>43963</v>
      </c>
      <c r="C72" s="1" t="n">
        <v>45505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22671-2020</t>
        </is>
      </c>
      <c r="B73" s="1" t="n">
        <v>43963</v>
      </c>
      <c r="C73" s="1" t="n">
        <v>45505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22672-2020</t>
        </is>
      </c>
      <c r="B74" s="1" t="n">
        <v>43963</v>
      </c>
      <c r="C74" s="1" t="n">
        <v>45505</v>
      </c>
      <c r="D74" t="inlineStr">
        <is>
          <t>ÖSTERGÖTLANDS LÄN</t>
        </is>
      </c>
      <c r="E74" t="inlineStr">
        <is>
          <t>ÖDESHÖG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24268-2020</t>
        </is>
      </c>
      <c r="B75" s="1" t="n">
        <v>43971</v>
      </c>
      <c r="C75" s="1" t="n">
        <v>45505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25866-2020</t>
        </is>
      </c>
      <c r="B76" s="1" t="n">
        <v>43984</v>
      </c>
      <c r="C76" s="1" t="n">
        <v>45505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25941-2020</t>
        </is>
      </c>
      <c r="B77" s="1" t="n">
        <v>43985</v>
      </c>
      <c r="C77" s="1" t="n">
        <v>45505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32923-2020</t>
        </is>
      </c>
      <c r="B78" s="1" t="n">
        <v>44020</v>
      </c>
      <c r="C78" s="1" t="n">
        <v>45505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33761-2020</t>
        </is>
      </c>
      <c r="B79" s="1" t="n">
        <v>44026</v>
      </c>
      <c r="C79" s="1" t="n">
        <v>45505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35539-2020</t>
        </is>
      </c>
      <c r="B80" s="1" t="n">
        <v>44043</v>
      </c>
      <c r="C80" s="1" t="n">
        <v>45505</v>
      </c>
      <c r="D80" t="inlineStr">
        <is>
          <t>ÖSTERGÖTLANDS LÄN</t>
        </is>
      </c>
      <c r="E80" t="inlineStr">
        <is>
          <t>ÖDESHÖG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35751-2020</t>
        </is>
      </c>
      <c r="B81" s="1" t="n">
        <v>44046</v>
      </c>
      <c r="C81" s="1" t="n">
        <v>45505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38823-2020</t>
        </is>
      </c>
      <c r="B82" s="1" t="n">
        <v>44062</v>
      </c>
      <c r="C82" s="1" t="n">
        <v>45505</v>
      </c>
      <c r="D82" t="inlineStr">
        <is>
          <t>ÖSTERGÖTLANDS LÄN</t>
        </is>
      </c>
      <c r="E82" t="inlineStr">
        <is>
          <t>ÖDESHÖG</t>
        </is>
      </c>
      <c r="F82" t="inlineStr">
        <is>
          <t>Kyrkan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41516-2020</t>
        </is>
      </c>
      <c r="B83" s="1" t="n">
        <v>44074</v>
      </c>
      <c r="C83" s="1" t="n">
        <v>45505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41522-2020</t>
        </is>
      </c>
      <c r="B84" s="1" t="n">
        <v>44074</v>
      </c>
      <c r="C84" s="1" t="n">
        <v>45505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41506-2020</t>
        </is>
      </c>
      <c r="B85" s="1" t="n">
        <v>44074</v>
      </c>
      <c r="C85" s="1" t="n">
        <v>45505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41663-2020</t>
        </is>
      </c>
      <c r="B86" s="1" t="n">
        <v>44074</v>
      </c>
      <c r="C86" s="1" t="n">
        <v>45505</v>
      </c>
      <c r="D86" t="inlineStr">
        <is>
          <t>ÖSTERGÖTLANDS LÄN</t>
        </is>
      </c>
      <c r="E86" t="inlineStr">
        <is>
          <t>ÖDESHÖG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41518-2020</t>
        </is>
      </c>
      <c r="B87" s="1" t="n">
        <v>44074</v>
      </c>
      <c r="C87" s="1" t="n">
        <v>45505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41819-2020</t>
        </is>
      </c>
      <c r="B88" s="1" t="n">
        <v>44074</v>
      </c>
      <c r="C88" s="1" t="n">
        <v>45505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41816-2020</t>
        </is>
      </c>
      <c r="B89" s="1" t="n">
        <v>44074</v>
      </c>
      <c r="C89" s="1" t="n">
        <v>45505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41810-2020</t>
        </is>
      </c>
      <c r="B90" s="1" t="n">
        <v>44074</v>
      </c>
      <c r="C90" s="1" t="n">
        <v>45505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42408-2020</t>
        </is>
      </c>
      <c r="B91" s="1" t="n">
        <v>44076</v>
      </c>
      <c r="C91" s="1" t="n">
        <v>45505</v>
      </c>
      <c r="D91" t="inlineStr">
        <is>
          <t>ÖSTERGÖTLANDS LÄN</t>
        </is>
      </c>
      <c r="E91" t="inlineStr">
        <is>
          <t>ÖDESHÖG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42239-2020</t>
        </is>
      </c>
      <c r="B92" s="1" t="n">
        <v>44076</v>
      </c>
      <c r="C92" s="1" t="n">
        <v>45505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42720-2020</t>
        </is>
      </c>
      <c r="B93" s="1" t="n">
        <v>44077</v>
      </c>
      <c r="C93" s="1" t="n">
        <v>45505</v>
      </c>
      <c r="D93" t="inlineStr">
        <is>
          <t>ÖSTERGÖTLANDS LÄN</t>
        </is>
      </c>
      <c r="E93" t="inlineStr">
        <is>
          <t>ÖDESHÖG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43040-2020</t>
        </is>
      </c>
      <c r="B94" s="1" t="n">
        <v>44078</v>
      </c>
      <c r="C94" s="1" t="n">
        <v>45505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44395-2020</t>
        </is>
      </c>
      <c r="B95" s="1" t="n">
        <v>44084</v>
      </c>
      <c r="C95" s="1" t="n">
        <v>45505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44465-2020</t>
        </is>
      </c>
      <c r="B96" s="1" t="n">
        <v>44084</v>
      </c>
      <c r="C96" s="1" t="n">
        <v>45505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49749-2020</t>
        </is>
      </c>
      <c r="B97" s="1" t="n">
        <v>44106</v>
      </c>
      <c r="C97" s="1" t="n">
        <v>45505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49752-2020</t>
        </is>
      </c>
      <c r="B98" s="1" t="n">
        <v>44106</v>
      </c>
      <c r="C98" s="1" t="n">
        <v>45505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50595-2020</t>
        </is>
      </c>
      <c r="B99" s="1" t="n">
        <v>44110</v>
      </c>
      <c r="C99" s="1" t="n">
        <v>45505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51200-2020</t>
        </is>
      </c>
      <c r="B100" s="1" t="n">
        <v>44112</v>
      </c>
      <c r="C100" s="1" t="n">
        <v>45505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51193-2020</t>
        </is>
      </c>
      <c r="B101" s="1" t="n">
        <v>44112</v>
      </c>
      <c r="C101" s="1" t="n">
        <v>45505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52280-2020</t>
        </is>
      </c>
      <c r="B102" s="1" t="n">
        <v>44117</v>
      </c>
      <c r="C102" s="1" t="n">
        <v>45505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52239-2020</t>
        </is>
      </c>
      <c r="B103" s="1" t="n">
        <v>44117</v>
      </c>
      <c r="C103" s="1" t="n">
        <v>45505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52284-2020</t>
        </is>
      </c>
      <c r="B104" s="1" t="n">
        <v>44117</v>
      </c>
      <c r="C104" s="1" t="n">
        <v>45505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53743-2020</t>
        </is>
      </c>
      <c r="B105" s="1" t="n">
        <v>44124</v>
      </c>
      <c r="C105" s="1" t="n">
        <v>45505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54099-2020</t>
        </is>
      </c>
      <c r="B106" s="1" t="n">
        <v>44125</v>
      </c>
      <c r="C106" s="1" t="n">
        <v>45505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54772-2020</t>
        </is>
      </c>
      <c r="B107" s="1" t="n">
        <v>44127</v>
      </c>
      <c r="C107" s="1" t="n">
        <v>45505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55793-2020</t>
        </is>
      </c>
      <c r="B108" s="1" t="n">
        <v>44132</v>
      </c>
      <c r="C108" s="1" t="n">
        <v>45505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58621-2020</t>
        </is>
      </c>
      <c r="B109" s="1" t="n">
        <v>44145</v>
      </c>
      <c r="C109" s="1" t="n">
        <v>45505</v>
      </c>
      <c r="D109" t="inlineStr">
        <is>
          <t>ÖSTERGÖTLANDS LÄN</t>
        </is>
      </c>
      <c r="E109" t="inlineStr">
        <is>
          <t>ÖDESHÖG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60286-2020</t>
        </is>
      </c>
      <c r="B110" s="1" t="n">
        <v>44152</v>
      </c>
      <c r="C110" s="1" t="n">
        <v>45505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62199-2020</t>
        </is>
      </c>
      <c r="B111" s="1" t="n">
        <v>44159</v>
      </c>
      <c r="C111" s="1" t="n">
        <v>45505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62207-2020</t>
        </is>
      </c>
      <c r="B112" s="1" t="n">
        <v>44159</v>
      </c>
      <c r="C112" s="1" t="n">
        <v>45505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63333-2020</t>
        </is>
      </c>
      <c r="B113" s="1" t="n">
        <v>44165</v>
      </c>
      <c r="C113" s="1" t="n">
        <v>45505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67737-2020</t>
        </is>
      </c>
      <c r="B114" s="1" t="n">
        <v>44182</v>
      </c>
      <c r="C114" s="1" t="n">
        <v>45505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67754-2020</t>
        </is>
      </c>
      <c r="B115" s="1" t="n">
        <v>44182</v>
      </c>
      <c r="C115" s="1" t="n">
        <v>45505</v>
      </c>
      <c r="D115" t="inlineStr">
        <is>
          <t>ÖSTERGÖTLANDS LÄN</t>
        </is>
      </c>
      <c r="E115" t="inlineStr">
        <is>
          <t>ÖDESHÖG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67746-2020</t>
        </is>
      </c>
      <c r="B116" s="1" t="n">
        <v>44182</v>
      </c>
      <c r="C116" s="1" t="n">
        <v>45505</v>
      </c>
      <c r="D116" t="inlineStr">
        <is>
          <t>ÖSTERGÖTLANDS LÄN</t>
        </is>
      </c>
      <c r="E116" t="inlineStr">
        <is>
          <t>ÖDESHÖG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67956-2020</t>
        </is>
      </c>
      <c r="B117" s="1" t="n">
        <v>44182</v>
      </c>
      <c r="C117" s="1" t="n">
        <v>45505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67963-2020</t>
        </is>
      </c>
      <c r="B118" s="1" t="n">
        <v>44182</v>
      </c>
      <c r="C118" s="1" t="n">
        <v>45505</v>
      </c>
      <c r="D118" t="inlineStr">
        <is>
          <t>ÖSTERGÖTLANDS LÄN</t>
        </is>
      </c>
      <c r="E118" t="inlineStr">
        <is>
          <t>ÖDESHÖG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1702-2021</t>
        </is>
      </c>
      <c r="B119" s="1" t="n">
        <v>44209</v>
      </c>
      <c r="C119" s="1" t="n">
        <v>45505</v>
      </c>
      <c r="D119" t="inlineStr">
        <is>
          <t>ÖSTERGÖTLANDS LÄN</t>
        </is>
      </c>
      <c r="E119" t="inlineStr">
        <is>
          <t>ÖDESHÖG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5832-2021</t>
        </is>
      </c>
      <c r="B120" s="1" t="n">
        <v>44231</v>
      </c>
      <c r="C120" s="1" t="n">
        <v>45505</v>
      </c>
      <c r="D120" t="inlineStr">
        <is>
          <t>ÖSTERGÖTLANDS LÄN</t>
        </is>
      </c>
      <c r="E120" t="inlineStr">
        <is>
          <t>ÖDESHÖG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7848-2021</t>
        </is>
      </c>
      <c r="B121" s="1" t="n">
        <v>44242</v>
      </c>
      <c r="C121" s="1" t="n">
        <v>45505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7854-2021</t>
        </is>
      </c>
      <c r="B122" s="1" t="n">
        <v>44242</v>
      </c>
      <c r="C122" s="1" t="n">
        <v>45505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9500-2021</t>
        </is>
      </c>
      <c r="B123" s="1" t="n">
        <v>44251</v>
      </c>
      <c r="C123" s="1" t="n">
        <v>45505</v>
      </c>
      <c r="D123" t="inlineStr">
        <is>
          <t>ÖSTERGÖTLANDS LÄN</t>
        </is>
      </c>
      <c r="E123" t="inlineStr">
        <is>
          <t>ÖDESHÖG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9709-2021</t>
        </is>
      </c>
      <c r="B124" s="1" t="n">
        <v>44252</v>
      </c>
      <c r="C124" s="1" t="n">
        <v>45505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11744-2021</t>
        </is>
      </c>
      <c r="B125" s="1" t="n">
        <v>44265</v>
      </c>
      <c r="C125" s="1" t="n">
        <v>45505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18840-2021</t>
        </is>
      </c>
      <c r="B126" s="1" t="n">
        <v>44307</v>
      </c>
      <c r="C126" s="1" t="n">
        <v>45505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28137-2021</t>
        </is>
      </c>
      <c r="B127" s="1" t="n">
        <v>44355</v>
      </c>
      <c r="C127" s="1" t="n">
        <v>45505</v>
      </c>
      <c r="D127" t="inlineStr">
        <is>
          <t>ÖSTERGÖTLANDS LÄN</t>
        </is>
      </c>
      <c r="E127" t="inlineStr">
        <is>
          <t>ÖDESHÖG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28477-2021</t>
        </is>
      </c>
      <c r="B128" s="1" t="n">
        <v>44356</v>
      </c>
      <c r="C128" s="1" t="n">
        <v>45505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28390-2021</t>
        </is>
      </c>
      <c r="B129" s="1" t="n">
        <v>44356</v>
      </c>
      <c r="C129" s="1" t="n">
        <v>45505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28429-2021</t>
        </is>
      </c>
      <c r="B130" s="1" t="n">
        <v>44356</v>
      </c>
      <c r="C130" s="1" t="n">
        <v>45505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29126-2021</t>
        </is>
      </c>
      <c r="B131" s="1" t="n">
        <v>44358</v>
      </c>
      <c r="C131" s="1" t="n">
        <v>45505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45505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30471-2021</t>
        </is>
      </c>
      <c r="B133" s="1" t="n">
        <v>44364</v>
      </c>
      <c r="C133" s="1" t="n">
        <v>45505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35474-2021</t>
        </is>
      </c>
      <c r="B134" s="1" t="n">
        <v>44385</v>
      </c>
      <c r="C134" s="1" t="n">
        <v>45505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35597-2021</t>
        </is>
      </c>
      <c r="B135" s="1" t="n">
        <v>44386</v>
      </c>
      <c r="C135" s="1" t="n">
        <v>45505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39640-2021</t>
        </is>
      </c>
      <c r="B136" s="1" t="n">
        <v>44417</v>
      </c>
      <c r="C136" s="1" t="n">
        <v>45505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40811-2021</t>
        </is>
      </c>
      <c r="B137" s="1" t="n">
        <v>44421</v>
      </c>
      <c r="C137" s="1" t="n">
        <v>45505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51771-2021</t>
        </is>
      </c>
      <c r="B138" s="1" t="n">
        <v>44462</v>
      </c>
      <c r="C138" s="1" t="n">
        <v>45505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52476-2021</t>
        </is>
      </c>
      <c r="B139" s="1" t="n">
        <v>44466</v>
      </c>
      <c r="C139" s="1" t="n">
        <v>45505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54226-2021</t>
        </is>
      </c>
      <c r="B140" s="1" t="n">
        <v>44470</v>
      </c>
      <c r="C140" s="1" t="n">
        <v>45505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58052-2021</t>
        </is>
      </c>
      <c r="B141" s="1" t="n">
        <v>44487</v>
      </c>
      <c r="C141" s="1" t="n">
        <v>45505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61880-2021</t>
        </is>
      </c>
      <c r="B142" s="1" t="n">
        <v>44502</v>
      </c>
      <c r="C142" s="1" t="n">
        <v>45505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62726-2021</t>
        </is>
      </c>
      <c r="B143" s="1" t="n">
        <v>44504</v>
      </c>
      <c r="C143" s="1" t="n">
        <v>45505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62919-2021</t>
        </is>
      </c>
      <c r="B144" s="1" t="n">
        <v>44504</v>
      </c>
      <c r="C144" s="1" t="n">
        <v>45505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63666-2021</t>
        </is>
      </c>
      <c r="B145" s="1" t="n">
        <v>44509</v>
      </c>
      <c r="C145" s="1" t="n">
        <v>45505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63668-2021</t>
        </is>
      </c>
      <c r="B146" s="1" t="n">
        <v>44509</v>
      </c>
      <c r="C146" s="1" t="n">
        <v>45505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64251-2021</t>
        </is>
      </c>
      <c r="B147" s="1" t="n">
        <v>44510</v>
      </c>
      <c r="C147" s="1" t="n">
        <v>45505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64254-2021</t>
        </is>
      </c>
      <c r="B148" s="1" t="n">
        <v>44510</v>
      </c>
      <c r="C148" s="1" t="n">
        <v>45505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64622-2021</t>
        </is>
      </c>
      <c r="B149" s="1" t="n">
        <v>44511</v>
      </c>
      <c r="C149" s="1" t="n">
        <v>45505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45505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65821-2021</t>
        </is>
      </c>
      <c r="B151" s="1" t="n">
        <v>44517</v>
      </c>
      <c r="C151" s="1" t="n">
        <v>45505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71038-2021</t>
        </is>
      </c>
      <c r="B152" s="1" t="n">
        <v>44538</v>
      </c>
      <c r="C152" s="1" t="n">
        <v>45505</v>
      </c>
      <c r="D152" t="inlineStr">
        <is>
          <t>ÖSTERGÖTLANDS LÄN</t>
        </is>
      </c>
      <c r="E152" t="inlineStr">
        <is>
          <t>ÖDESHÖG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71034-2021</t>
        </is>
      </c>
      <c r="B153" s="1" t="n">
        <v>44538</v>
      </c>
      <c r="C153" s="1" t="n">
        <v>45505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71029-2021</t>
        </is>
      </c>
      <c r="B154" s="1" t="n">
        <v>44538</v>
      </c>
      <c r="C154" s="1" t="n">
        <v>45505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71514-2021</t>
        </is>
      </c>
      <c r="B155" s="1" t="n">
        <v>44540</v>
      </c>
      <c r="C155" s="1" t="n">
        <v>45505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72603-2021</t>
        </is>
      </c>
      <c r="B156" s="1" t="n">
        <v>44546</v>
      </c>
      <c r="C156" s="1" t="n">
        <v>45505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107-2022</t>
        </is>
      </c>
      <c r="B157" s="1" t="n">
        <v>44564</v>
      </c>
      <c r="C157" s="1" t="n">
        <v>45505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1312-2022</t>
        </is>
      </c>
      <c r="B158" s="1" t="n">
        <v>44572</v>
      </c>
      <c r="C158" s="1" t="n">
        <v>45505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3122-2022</t>
        </is>
      </c>
      <c r="B159" s="1" t="n">
        <v>44582</v>
      </c>
      <c r="C159" s="1" t="n">
        <v>45505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4772-2022</t>
        </is>
      </c>
      <c r="B160" s="1" t="n">
        <v>44592</v>
      </c>
      <c r="C160" s="1" t="n">
        <v>45505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45505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8913-2022</t>
        </is>
      </c>
      <c r="B162" s="1" t="n">
        <v>44614</v>
      </c>
      <c r="C162" s="1" t="n">
        <v>45505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9039-2022</t>
        </is>
      </c>
      <c r="B163" s="1" t="n">
        <v>44615</v>
      </c>
      <c r="C163" s="1" t="n">
        <v>45505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9676-2022</t>
        </is>
      </c>
      <c r="B164" s="1" t="n">
        <v>44617</v>
      </c>
      <c r="C164" s="1" t="n">
        <v>45505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10226-2022</t>
        </is>
      </c>
      <c r="B165" s="1" t="n">
        <v>44622</v>
      </c>
      <c r="C165" s="1" t="n">
        <v>45505</v>
      </c>
      <c r="D165" t="inlineStr">
        <is>
          <t>ÖSTERGÖTLANDS LÄN</t>
        </is>
      </c>
      <c r="E165" t="inlineStr">
        <is>
          <t>ÖDESHÖG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10329-2022</t>
        </is>
      </c>
      <c r="B166" s="1" t="n">
        <v>44623</v>
      </c>
      <c r="C166" s="1" t="n">
        <v>45505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10335-2022</t>
        </is>
      </c>
      <c r="B167" s="1" t="n">
        <v>44623</v>
      </c>
      <c r="C167" s="1" t="n">
        <v>45505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15198-2022</t>
        </is>
      </c>
      <c r="B168" s="1" t="n">
        <v>44658</v>
      </c>
      <c r="C168" s="1" t="n">
        <v>45505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15813-2022</t>
        </is>
      </c>
      <c r="B169" s="1" t="n">
        <v>44664</v>
      </c>
      <c r="C169" s="1" t="n">
        <v>45505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16152-2022</t>
        </is>
      </c>
      <c r="B170" s="1" t="n">
        <v>44666</v>
      </c>
      <c r="C170" s="1" t="n">
        <v>45505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20244-2022</t>
        </is>
      </c>
      <c r="B171" s="1" t="n">
        <v>44698</v>
      </c>
      <c r="C171" s="1" t="n">
        <v>45505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20262-2022</t>
        </is>
      </c>
      <c r="B172" s="1" t="n">
        <v>44698</v>
      </c>
      <c r="C172" s="1" t="n">
        <v>45505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45505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45505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45505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45505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45505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45505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45505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45505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45505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45505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45505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45505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45505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45505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45505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45505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45505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45505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45505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45505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45505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45505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45505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45505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45505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45505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45505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45505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45505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45505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45505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45505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45505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45505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45505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45505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45505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45505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45505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45505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45505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45505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45505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45505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45505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45505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45505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45505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45505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45505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45505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45505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45505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45505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45505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45505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45505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45505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45505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45505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45505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45505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45505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45505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45505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45505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45505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45505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45505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45505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45505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45505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45505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45505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45505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45505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45505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45505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45505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45505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45505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45505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45505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45505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45505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45505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45505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45505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45505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45505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45505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45505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45505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45505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45505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45505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45505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45505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45505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45505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45505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45505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45505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45505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45505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45505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45505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45505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45505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45505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45505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45505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45505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45505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45505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45505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45505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45505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45505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45505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45505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45505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45505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45505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45505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45505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45505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45505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45505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45505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45505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45505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45505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45505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45505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45505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45505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45505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45505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45505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45505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45505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45505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45505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45505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45505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45505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45505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45505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45505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45505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45505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45505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45505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45505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45505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45505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45505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45505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45505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45505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45505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45505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45505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45505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45505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45505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45505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45505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45505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45505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45505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45505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45505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45505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45505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45505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45505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45505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45505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45505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45505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45505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45505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45505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45505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45505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45505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45505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45505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45505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45505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45505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45505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45505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45505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45505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45505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45505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45505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45505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45505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45505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45505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45505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45505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30388-2024</t>
        </is>
      </c>
      <c r="B379" s="1" t="n">
        <v>45491</v>
      </c>
      <c r="C379" s="1" t="n">
        <v>45505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2024-08-01T10:40:02Z</dcterms:created>
  <dcterms:modified xmlns:dcterms="http://purl.org/dc/terms/" xmlns:xsi="http://www.w3.org/2001/XMLSchema-instance" xsi:type="dcterms:W3CDTF">2024-08-01T10:40:02Z</dcterms:modified>
</cp:coreProperties>
</file>