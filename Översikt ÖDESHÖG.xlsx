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46309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46309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46309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46309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46309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46309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46309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46309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46309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46309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46309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46309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46309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46309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46309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46309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38720-2023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46309</v>
      </c>
      <c r="F20" t="inlineStr">
        <is>
          <t>ÖSTERGÖTLANDS LÄN</t>
        </is>
      </c>
      <c r="G20" t="inlineStr">
        <is>
          <t>ÖDESHÖG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Hässleklocka</t>
        </is>
      </c>
      <c r="W20">
        <f>HYPERLINK("https://klasma.github.io/Logging_0509/artfynd/A 38720-2023 artfynd.xlsx", "A 38720-2023")</f>
        <v/>
      </c>
      <c r="X20">
        <f>HYPERLINK("https://klasma.github.io/Logging_0509/kartor/A 38720-2023 karta.png", "A 38720-2023")</f>
        <v/>
      </c>
      <c r="Y20">
        <f>HYPERLINK("https://klasma.github.io/Logging_0509/kartor_geotiff/A 38720-2023 georefererad karta.tif", "A 38720-2023")</f>
        <v/>
      </c>
      <c r="AA20">
        <f>HYPERLINK("https://klasma.github.io/Logging_0509/klagomål/A 38720-2023 FSC-klagomål.docx", "A 38720-2023")</f>
        <v/>
      </c>
      <c r="AB20">
        <f>HYPERLINK("https://klasma.github.io/Logging_0509/klagomålsmail/A 38720-2023 FSC-klagomål mail.docx", "A 38720-2023")</f>
        <v/>
      </c>
      <c r="AC20">
        <f>HYPERLINK("https://klasma.github.io/Logging_0509/tillsyn/A 38720-2023 tillsynsbegäran.docx", "A 38720-2023")</f>
        <v/>
      </c>
      <c r="AD20">
        <f>HYPERLINK("https://klasma.github.io/Logging_0509/tillsynsmail/A 38720-2023 tillsynsbegäran mail.docx", "A 38720-2023")</f>
        <v/>
      </c>
    </row>
    <row r="21" ht="15" customHeight="1">
      <c r="A21" t="inlineStr">
        <is>
          <t>A 32713-2024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45516</v>
      </c>
      <c r="E21" s="1" t="n">
        <v>46309</v>
      </c>
      <c r="F21" t="inlineStr">
        <is>
          <t>ÖSTERGÖTLANDS LÄN</t>
        </is>
      </c>
      <c r="G21" t="inlineStr">
        <is>
          <t>ÖDESHÖG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Kristinspindling</t>
        </is>
      </c>
      <c r="W21">
        <f>HYPERLINK("https://klasma.github.io/Logging_0509/artfynd/A 32713-2024 artfynd.xlsx", "A 32713-2024")</f>
        <v/>
      </c>
      <c r="X21">
        <f>HYPERLINK("https://klasma.github.io/Logging_0509/kartor/A 32713-2024 karta.png", "A 32713-2024")</f>
        <v/>
      </c>
      <c r="Y21">
        <f>HYPERLINK("https://klasma.github.io/Logging_0509/kartor_geotiff/A 32713-2024 georefererad karta.tif", "A 32713-2024")</f>
        <v/>
      </c>
      <c r="AA21">
        <f>HYPERLINK("https://klasma.github.io/Logging_0509/klagomål/A 32713-2024 FSC-klagomål.docx", "A 32713-2024")</f>
        <v/>
      </c>
      <c r="AB21">
        <f>HYPERLINK("https://klasma.github.io/Logging_0509/klagomålsmail/A 32713-2024 FSC-klagomål mail.docx", "A 32713-2024")</f>
        <v/>
      </c>
      <c r="AC21">
        <f>HYPERLINK("https://klasma.github.io/Logging_0509/tillsyn/A 32713-2024 tillsynsbegäran.docx", "A 32713-2024")</f>
        <v/>
      </c>
      <c r="AD21">
        <f>HYPERLINK("https://klasma.github.io/Logging_0509/tillsynsmail/A 32713-2024 tillsynsbegäran mail.docx", "A 32713-2024")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46309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46309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46309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46309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46309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46309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46309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46309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46309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46309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46309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46309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46309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46309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46309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46309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15.4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46309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46309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46309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46309</v>
      </c>
      <c r="F42" t="inlineStr">
        <is>
          <t>ÖSTERGÖTLANDS LÄN</t>
        </is>
      </c>
      <c r="G42" t="inlineStr">
        <is>
          <t>ÖDESHÖG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46309</v>
      </c>
      <c r="F43" t="inlineStr">
        <is>
          <t>ÖSTERGÖTLANDS LÄN</t>
        </is>
      </c>
      <c r="G43" t="inlineStr">
        <is>
          <t>ÖDESHÖG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45491</v>
      </c>
      <c r="E44" s="1" t="n">
        <v>46309</v>
      </c>
      <c r="F44" t="inlineStr">
        <is>
          <t>ÖSTERGÖTLANDS LÄN</t>
        </is>
      </c>
      <c r="G44" t="inlineStr">
        <is>
          <t>ÖDESHÖG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46309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46309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46309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48325-2022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44858</v>
      </c>
      <c r="E48" s="1" t="n">
        <v>46309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47993-2024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46309</v>
      </c>
      <c r="F49" t="inlineStr">
        <is>
          <t>ÖSTERGÖTLANDS LÄN</t>
        </is>
      </c>
      <c r="G49" t="inlineStr">
        <is>
          <t>ÖDESHÖG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46309</v>
      </c>
      <c r="F50" t="inlineStr">
        <is>
          <t>ÖSTERGÖTLANDS LÄN</t>
        </is>
      </c>
      <c r="G50" t="inlineStr">
        <is>
          <t>ÖDESHÖG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1268-2026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46309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44512</v>
      </c>
      <c r="E52" s="1" t="n">
        <v>46309</v>
      </c>
      <c r="F52" t="inlineStr">
        <is>
          <t>ÖSTERGÖTLANDS LÄN</t>
        </is>
      </c>
      <c r="G52" t="inlineStr">
        <is>
          <t>ÖDESHÖG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46309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46309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46309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46309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46309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46309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45902</v>
      </c>
      <c r="E59" s="1" t="n">
        <v>46309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46309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46309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46309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46309</v>
      </c>
      <c r="F63" t="inlineStr">
        <is>
          <t>ÖSTERGÖTLANDS LÄN</t>
        </is>
      </c>
      <c r="G63" t="inlineStr">
        <is>
          <t>ÖDESHÖG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46059-2025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46309</v>
      </c>
      <c r="F64" t="inlineStr">
        <is>
          <t>ÖSTERGÖTLANDS LÄN</t>
        </is>
      </c>
      <c r="G64" t="inlineStr">
        <is>
          <t>ÖDESHÖG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46309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15915-2024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45405</v>
      </c>
      <c r="E66" s="1" t="n">
        <v>46309</v>
      </c>
      <c r="F66" t="inlineStr">
        <is>
          <t>ÖSTERGÖTLANDS LÄN</t>
        </is>
      </c>
      <c r="G66" t="inlineStr">
        <is>
          <t>ÖDESHÖG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46309</v>
      </c>
      <c r="F67" t="inlineStr">
        <is>
          <t>ÖSTERGÖTLANDS LÄN</t>
        </is>
      </c>
      <c r="G67" t="inlineStr">
        <is>
          <t>ÖDESHÖG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46309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46309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46309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45929</v>
      </c>
      <c r="E71" s="1" t="n">
        <v>46309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46309</v>
      </c>
      <c r="F72" t="inlineStr">
        <is>
          <t>ÖSTERGÖTLANDS LÄN</t>
        </is>
      </c>
      <c r="G72" t="inlineStr">
        <is>
          <t>ÖDESHÖG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45416</v>
      </c>
      <c r="E73" s="1" t="n">
        <v>46309</v>
      </c>
      <c r="F73" t="inlineStr">
        <is>
          <t>ÖSTERGÖTLANDS LÄN</t>
        </is>
      </c>
      <c r="G73" t="inlineStr">
        <is>
          <t>ÖDESHÖG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46309</v>
      </c>
      <c r="F74" t="inlineStr">
        <is>
          <t>ÖSTERGÖTLANDS LÄN</t>
        </is>
      </c>
      <c r="G74" t="inlineStr">
        <is>
          <t>ÖDESHÖG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46309</v>
      </c>
      <c r="F75" t="inlineStr">
        <is>
          <t>ÖSTERGÖTLANDS LÄN</t>
        </is>
      </c>
      <c r="G75" t="inlineStr">
        <is>
          <t>ÖDESHÖG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45331</v>
      </c>
      <c r="E76" s="1" t="n">
        <v>46309</v>
      </c>
      <c r="F76" t="inlineStr">
        <is>
          <t>ÖSTERGÖTLANDS LÄN</t>
        </is>
      </c>
      <c r="G76" t="inlineStr">
        <is>
          <t>ÖDESHÖG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46309</v>
      </c>
      <c r="F77" t="inlineStr">
        <is>
          <t>ÖSTERGÖTLANDS LÄN</t>
        </is>
      </c>
      <c r="G77" t="inlineStr">
        <is>
          <t>ÖDESHÖG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46309</v>
      </c>
      <c r="F78" t="inlineStr">
        <is>
          <t>ÖSTERGÖTLANDS LÄN</t>
        </is>
      </c>
      <c r="G78" t="inlineStr">
        <is>
          <t>ÖDESHÖG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46309</v>
      </c>
      <c r="F79" t="inlineStr">
        <is>
          <t>ÖSTERGÖTLANDS LÄN</t>
        </is>
      </c>
      <c r="G79" t="inlineStr">
        <is>
          <t>ÖDESHÖG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45014</v>
      </c>
      <c r="E80" s="1" t="n">
        <v>46309</v>
      </c>
      <c r="F80" t="inlineStr">
        <is>
          <t>ÖSTERGÖTLANDS LÄN</t>
        </is>
      </c>
      <c r="G80" t="inlineStr">
        <is>
          <t>ÖDESHÖG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45944</v>
      </c>
      <c r="E81" s="1" t="n">
        <v>46309</v>
      </c>
      <c r="F81" t="inlineStr">
        <is>
          <t>ÖSTERGÖTLANDS LÄN</t>
        </is>
      </c>
      <c r="G81" t="inlineStr">
        <is>
          <t>ÖDESHÖG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46309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46309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46309</v>
      </c>
      <c r="F84" t="inlineStr">
        <is>
          <t>ÖSTERGÖTLANDS LÄN</t>
        </is>
      </c>
      <c r="G84" t="inlineStr">
        <is>
          <t>ÖDESHÖG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46309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8256-2023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44974</v>
      </c>
      <c r="E86" s="1" t="n">
        <v>46309</v>
      </c>
      <c r="F86" t="inlineStr">
        <is>
          <t>ÖSTERGÖTLANDS LÄN</t>
        </is>
      </c>
      <c r="G86" t="inlineStr">
        <is>
          <t>ÖDESHÖG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45069</v>
      </c>
      <c r="E87" s="1" t="n">
        <v>46309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46309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45397</v>
      </c>
      <c r="E89" s="1" t="n">
        <v>46309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45776</v>
      </c>
      <c r="E90" s="1" t="n">
        <v>46309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46309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46309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45973</v>
      </c>
      <c r="E93" s="1" t="n">
        <v>46309</v>
      </c>
      <c r="F93" t="inlineStr">
        <is>
          <t>ÖSTERGÖTLANDS LÄN</t>
        </is>
      </c>
      <c r="G93" t="inlineStr">
        <is>
          <t>ÖDESHÖG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46309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45973</v>
      </c>
      <c r="E95" s="1" t="n">
        <v>46309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46309</v>
      </c>
      <c r="F96" t="inlineStr">
        <is>
          <t>ÖSTERGÖTLANDS LÄN</t>
        </is>
      </c>
      <c r="G96" t="inlineStr">
        <is>
          <t>ÖDESHÖG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46309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46309</v>
      </c>
      <c r="F98" t="inlineStr">
        <is>
          <t>ÖSTERGÖTLANDS LÄN</t>
        </is>
      </c>
      <c r="G98" t="inlineStr">
        <is>
          <t>ÖDESHÖG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46309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46309</v>
      </c>
      <c r="F100" t="inlineStr">
        <is>
          <t>ÖSTERGÖTLANDS LÄN</t>
        </is>
      </c>
      <c r="G100" t="inlineStr">
        <is>
          <t>ÖDESHÖG</t>
        </is>
      </c>
      <c r="I100" t="n">
        <v>13.4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46309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46309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46309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46309</v>
      </c>
      <c r="F104" t="inlineStr">
        <is>
          <t>ÖSTERGÖTLANDS LÄN</t>
        </is>
      </c>
      <c r="G104" t="inlineStr">
        <is>
          <t>ÖDESHÖG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46309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22.7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46309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46309</v>
      </c>
      <c r="F107" t="inlineStr">
        <is>
          <t>ÖSTERGÖTLANDS LÄN</t>
        </is>
      </c>
      <c r="G107" t="inlineStr">
        <is>
          <t>ÖDESHÖG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46309</v>
      </c>
      <c r="F108" t="inlineStr">
        <is>
          <t>ÖSTERGÖTLANDS LÄN</t>
        </is>
      </c>
      <c r="G108" t="inlineStr">
        <is>
          <t>ÖDESHÖG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46309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46309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46309</v>
      </c>
      <c r="F111" t="inlineStr">
        <is>
          <t>ÖSTERGÖTLANDS LÄN</t>
        </is>
      </c>
      <c r="G111" t="inlineStr">
        <is>
          <t>ÖDESHÖG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46309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46309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46309</v>
      </c>
      <c r="F114" t="inlineStr">
        <is>
          <t>ÖSTERGÖTLANDS LÄN</t>
        </is>
      </c>
      <c r="G114" t="inlineStr">
        <is>
          <t>ÖDESHÖG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46309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44613</v>
      </c>
      <c r="E116" s="1" t="n">
        <v>46309</v>
      </c>
      <c r="F116" t="inlineStr">
        <is>
          <t>ÖSTERGÖTLANDS LÄN</t>
        </is>
      </c>
      <c r="G116" t="inlineStr">
        <is>
          <t>ÖDESHÖG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46309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46309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46309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46309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46309</v>
      </c>
      <c r="F121" t="inlineStr">
        <is>
          <t>ÖSTERGÖTLANDS LÄN</t>
        </is>
      </c>
      <c r="G121" t="inlineStr">
        <is>
          <t>ÖDESHÖG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30945-2023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46309</v>
      </c>
      <c r="F122" t="inlineStr">
        <is>
          <t>ÖSTERGÖTLANDS LÄN</t>
        </is>
      </c>
      <c r="G122" t="inlineStr">
        <is>
          <t>ÖDESHÖG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45027</v>
      </c>
      <c r="E123" s="1" t="n">
        <v>46309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16341-2026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46309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16402-2026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46309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46309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46309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46309</v>
      </c>
      <c r="F128" t="inlineStr">
        <is>
          <t>ÖSTERGÖTLANDS LÄN</t>
        </is>
      </c>
      <c r="G128" t="inlineStr">
        <is>
          <t>ÖDESHÖG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46309</v>
      </c>
      <c r="F129" t="inlineStr">
        <is>
          <t>ÖSTERGÖTLANDS LÄN</t>
        </is>
      </c>
      <c r="G129" t="inlineStr">
        <is>
          <t>ÖDESHÖG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46309</v>
      </c>
      <c r="F130" t="inlineStr">
        <is>
          <t>ÖSTERGÖTLANDS LÄN</t>
        </is>
      </c>
      <c r="G130" t="inlineStr">
        <is>
          <t>ÖDESHÖG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46109</v>
      </c>
      <c r="E131" s="1" t="n">
        <v>46309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46109</v>
      </c>
      <c r="E132" s="1" t="n">
        <v>46309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46122</v>
      </c>
      <c r="E133" s="1" t="n">
        <v>46309</v>
      </c>
      <c r="F133" t="inlineStr">
        <is>
          <t>ÖSTERGÖTLANDS LÄN</t>
        </is>
      </c>
      <c r="G133" t="inlineStr">
        <is>
          <t>ÖDESHÖG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46309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46309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45065</v>
      </c>
      <c r="E136" s="1" t="n">
        <v>46309</v>
      </c>
      <c r="F136" t="inlineStr">
        <is>
          <t>ÖSTERGÖTLANDS LÄN</t>
        </is>
      </c>
      <c r="G136" t="inlineStr">
        <is>
          <t>ÖDESHÖG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46309</v>
      </c>
      <c r="F137" t="inlineStr">
        <is>
          <t>ÖSTERGÖTLANDS LÄN</t>
        </is>
      </c>
      <c r="G137" t="inlineStr">
        <is>
          <t>ÖDESHÖG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45580</v>
      </c>
      <c r="E138" s="1" t="n">
        <v>46309</v>
      </c>
      <c r="F138" t="inlineStr">
        <is>
          <t>ÖSTERGÖTLANDS LÄN</t>
        </is>
      </c>
      <c r="G138" t="inlineStr">
        <is>
          <t>ÖDESHÖG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46309</v>
      </c>
      <c r="F139" t="inlineStr">
        <is>
          <t>ÖSTERGÖTLANDS LÄN</t>
        </is>
      </c>
      <c r="G139" t="inlineStr">
        <is>
          <t>ÖDESHÖG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45335</v>
      </c>
      <c r="E140" s="1" t="n">
        <v>46309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61880-2021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46309</v>
      </c>
      <c r="F141" t="inlineStr">
        <is>
          <t>ÖSTERGÖTLANDS LÄN</t>
        </is>
      </c>
      <c r="G141" t="inlineStr">
        <is>
          <t>ÖDESHÖG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46309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8.699999999999999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46024</v>
      </c>
      <c r="E143" s="1" t="n">
        <v>46309</v>
      </c>
      <c r="F143" t="inlineStr">
        <is>
          <t>ÖSTERGÖTLANDS LÄN</t>
        </is>
      </c>
      <c r="G143" t="inlineStr">
        <is>
          <t>ÖDESHÖG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46309</v>
      </c>
      <c r="F144" t="inlineStr">
        <is>
          <t>ÖSTERGÖTLANDS LÄN</t>
        </is>
      </c>
      <c r="G144" t="inlineStr">
        <is>
          <t>ÖDESHÖG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45692</v>
      </c>
      <c r="E145" s="1" t="n">
        <v>46309</v>
      </c>
      <c r="F145" t="inlineStr">
        <is>
          <t>ÖSTERGÖTLANDS LÄN</t>
        </is>
      </c>
      <c r="G145" t="inlineStr">
        <is>
          <t>ÖDESHÖG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46309</v>
      </c>
      <c r="F146" t="inlineStr">
        <is>
          <t>ÖSTERGÖTLANDS LÄN</t>
        </is>
      </c>
      <c r="G146" t="inlineStr">
        <is>
          <t>ÖDESHÖG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46309</v>
      </c>
      <c r="F147" t="inlineStr">
        <is>
          <t>ÖSTERGÖTLANDS LÄN</t>
        </is>
      </c>
      <c r="G147" t="inlineStr">
        <is>
          <t>ÖDESHÖG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46309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45328</v>
      </c>
      <c r="E149" s="1" t="n">
        <v>46309</v>
      </c>
      <c r="F149" t="inlineStr">
        <is>
          <t>ÖSTERGÖTLANDS LÄN</t>
        </is>
      </c>
      <c r="G149" t="inlineStr">
        <is>
          <t>ÖDESHÖG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46309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46309</v>
      </c>
      <c r="F151" t="inlineStr">
        <is>
          <t>ÖSTERGÖTLANDS LÄN</t>
        </is>
      </c>
      <c r="G151" t="inlineStr">
        <is>
          <t>ÖDESHÖG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15909-2024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45405</v>
      </c>
      <c r="E152" s="1" t="n">
        <v>46309</v>
      </c>
      <c r="F152" t="inlineStr">
        <is>
          <t>ÖSTERGÖTLANDS LÄN</t>
        </is>
      </c>
      <c r="G152" t="inlineStr">
        <is>
          <t>ÖDESHÖG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46309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46309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46309</v>
      </c>
      <c r="F155" t="inlineStr">
        <is>
          <t>ÖSTERGÖTLANDS LÄN</t>
        </is>
      </c>
      <c r="G155" t="inlineStr">
        <is>
          <t>ÖDESHÖG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46309</v>
      </c>
      <c r="F156" t="inlineStr">
        <is>
          <t>ÖSTERGÖTLANDS LÄN</t>
        </is>
      </c>
      <c r="G156" t="inlineStr">
        <is>
          <t>ÖDESHÖG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39190-2023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45166</v>
      </c>
      <c r="E157" s="1" t="n">
        <v>46309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46309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46309</v>
      </c>
      <c r="F159" t="inlineStr">
        <is>
          <t>ÖSTERGÖTLANDS LÄN</t>
        </is>
      </c>
      <c r="G159" t="inlineStr">
        <is>
          <t>ÖDESHÖG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46309</v>
      </c>
      <c r="F160" t="inlineStr">
        <is>
          <t>ÖSTERGÖTLANDS LÄN</t>
        </is>
      </c>
      <c r="G160" t="inlineStr">
        <is>
          <t>ÖDESHÖG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61011-2024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45645</v>
      </c>
      <c r="E161" s="1" t="n">
        <v>46309</v>
      </c>
      <c r="F161" t="inlineStr">
        <is>
          <t>ÖSTERGÖTLANDS LÄN</t>
        </is>
      </c>
      <c r="G161" t="inlineStr">
        <is>
          <t>ÖDESHÖG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46309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46309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46309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46309</v>
      </c>
      <c r="F165" t="inlineStr">
        <is>
          <t>ÖSTERGÖTLANDS LÄN</t>
        </is>
      </c>
      <c r="G165" t="inlineStr">
        <is>
          <t>ÖDESHÖG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45146</v>
      </c>
      <c r="E166" s="1" t="n">
        <v>46309</v>
      </c>
      <c r="F166" t="inlineStr">
        <is>
          <t>ÖSTERGÖTLANDS LÄN</t>
        </is>
      </c>
      <c r="G166" t="inlineStr">
        <is>
          <t>ÖDESHÖG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46309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46309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46309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46309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46309</v>
      </c>
      <c r="F171" t="inlineStr">
        <is>
          <t>ÖSTERGÖTLANDS LÄN</t>
        </is>
      </c>
      <c r="G171" t="inlineStr">
        <is>
          <t>ÖDESHÖG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46309</v>
      </c>
      <c r="F172" t="inlineStr">
        <is>
          <t>ÖSTERGÖTLANDS LÄN</t>
        </is>
      </c>
      <c r="G172" t="inlineStr">
        <is>
          <t>ÖDESHÖG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46309</v>
      </c>
      <c r="F173" t="inlineStr">
        <is>
          <t>ÖSTERGÖTLANDS LÄN</t>
        </is>
      </c>
      <c r="G173" t="inlineStr">
        <is>
          <t>ÖDESHÖG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46309</v>
      </c>
      <c r="F174" t="inlineStr">
        <is>
          <t>ÖSTERGÖTLANDS LÄN</t>
        </is>
      </c>
      <c r="G174" t="inlineStr">
        <is>
          <t>ÖDESHÖG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46309</v>
      </c>
      <c r="F175" t="inlineStr">
        <is>
          <t>ÖSTERGÖTLANDS LÄN</t>
        </is>
      </c>
      <c r="G175" t="inlineStr">
        <is>
          <t>ÖDESHÖG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45707</v>
      </c>
      <c r="E176" s="1" t="n">
        <v>46309</v>
      </c>
      <c r="F176" t="inlineStr">
        <is>
          <t>ÖSTERGÖTLANDS LÄN</t>
        </is>
      </c>
      <c r="G176" t="inlineStr">
        <is>
          <t>ÖDESHÖG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46309</v>
      </c>
      <c r="F177" t="inlineStr">
        <is>
          <t>ÖSTERGÖTLANDS LÄN</t>
        </is>
      </c>
      <c r="G177" t="inlineStr">
        <is>
          <t>ÖDESHÖG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46309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46309</v>
      </c>
      <c r="F179" t="inlineStr">
        <is>
          <t>ÖSTERGÖTLANDS LÄN</t>
        </is>
      </c>
      <c r="G179" t="inlineStr">
        <is>
          <t>ÖDESHÖG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46309</v>
      </c>
      <c r="F180" t="inlineStr">
        <is>
          <t>ÖSTERGÖTLANDS LÄN</t>
        </is>
      </c>
      <c r="G180" t="inlineStr">
        <is>
          <t>ÖDESHÖG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46309</v>
      </c>
      <c r="F181" t="inlineStr">
        <is>
          <t>ÖSTERGÖTLANDS LÄN</t>
        </is>
      </c>
      <c r="G181" t="inlineStr">
        <is>
          <t>ÖDESHÖG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44938</v>
      </c>
      <c r="E182" s="1" t="n">
        <v>46309</v>
      </c>
      <c r="F182" t="inlineStr">
        <is>
          <t>ÖSTERGÖTLANDS LÄN</t>
        </is>
      </c>
      <c r="G182" t="inlineStr">
        <is>
          <t>ÖDESHÖG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44796</v>
      </c>
      <c r="E183" s="1" t="n">
        <v>46309</v>
      </c>
      <c r="F183" t="inlineStr">
        <is>
          <t>ÖSTERGÖTLANDS LÄN</t>
        </is>
      </c>
      <c r="G183" t="inlineStr">
        <is>
          <t>ÖDESHÖG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45048</v>
      </c>
      <c r="E184" s="1" t="n">
        <v>46309</v>
      </c>
      <c r="F184" t="inlineStr">
        <is>
          <t>ÖSTERGÖTLANDS LÄN</t>
        </is>
      </c>
      <c r="G184" t="inlineStr">
        <is>
          <t>ÖDESHÖG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46309</v>
      </c>
      <c r="F185" t="inlineStr">
        <is>
          <t>ÖSTERGÖTLANDS LÄN</t>
        </is>
      </c>
      <c r="G185" t="inlineStr">
        <is>
          <t>ÖDESHÖG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46309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46309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46309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45412</v>
      </c>
      <c r="E189" s="1" t="n">
        <v>46309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46309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Sveaskog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11193-2023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44992</v>
      </c>
      <c r="E191" s="1" t="n">
        <v>46309</v>
      </c>
      <c r="F191" t="inlineStr">
        <is>
          <t>ÖSTERGÖTLANDS LÄN</t>
        </is>
      </c>
      <c r="G191" t="inlineStr">
        <is>
          <t>ÖDESHÖG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46309</v>
      </c>
      <c r="F192" t="inlineStr">
        <is>
          <t>ÖSTERGÖTLANDS LÄN</t>
        </is>
      </c>
      <c r="G192" t="inlineStr">
        <is>
          <t>ÖDESHÖG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46309</v>
      </c>
      <c r="F193" t="inlineStr">
        <is>
          <t>ÖSTERGÖTLANDS LÄN</t>
        </is>
      </c>
      <c r="G193" t="inlineStr">
        <is>
          <t>ÖDESHÖG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46309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45699</v>
      </c>
      <c r="E195" s="1" t="n">
        <v>46309</v>
      </c>
      <c r="F195" t="inlineStr">
        <is>
          <t>ÖSTERGÖTLANDS LÄN</t>
        </is>
      </c>
      <c r="G195" t="inlineStr">
        <is>
          <t>ÖDESHÖG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46309</v>
      </c>
      <c r="F196" t="inlineStr">
        <is>
          <t>ÖSTERGÖTLANDS LÄN</t>
        </is>
      </c>
      <c r="G196" t="inlineStr">
        <is>
          <t>ÖDESHÖG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45149</v>
      </c>
      <c r="E197" s="1" t="n">
        <v>46309</v>
      </c>
      <c r="F197" t="inlineStr">
        <is>
          <t>ÖSTERGÖTLANDS LÄN</t>
        </is>
      </c>
      <c r="G197" t="inlineStr">
        <is>
          <t>ÖDESHÖG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44658</v>
      </c>
      <c r="E198" s="1" t="n">
        <v>46309</v>
      </c>
      <c r="F198" t="inlineStr">
        <is>
          <t>ÖSTERGÖTLANDS LÄN</t>
        </is>
      </c>
      <c r="G198" t="inlineStr">
        <is>
          <t>ÖDESHÖG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46309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46309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72603-2021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46309</v>
      </c>
      <c r="F201" t="inlineStr">
        <is>
          <t>ÖSTERGÖTLANDS LÄN</t>
        </is>
      </c>
      <c r="G201" t="inlineStr">
        <is>
          <t>ÖDESHÖG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46309</v>
      </c>
      <c r="F202" t="inlineStr">
        <is>
          <t>ÖSTERGÖTLANDS LÄN</t>
        </is>
      </c>
      <c r="G202" t="inlineStr">
        <is>
          <t>ÖDESHÖG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46309</v>
      </c>
      <c r="F203" t="inlineStr">
        <is>
          <t>ÖSTERGÖTLANDS LÄN</t>
        </is>
      </c>
      <c r="G203" t="inlineStr">
        <is>
          <t>ÖDESHÖG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46309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46309</v>
      </c>
      <c r="F205" t="inlineStr">
        <is>
          <t>ÖSTERGÖTLANDS LÄN</t>
        </is>
      </c>
      <c r="G205" t="inlineStr">
        <is>
          <t>ÖDESHÖG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46309</v>
      </c>
      <c r="F206" t="inlineStr">
        <is>
          <t>ÖSTERGÖTLANDS LÄN</t>
        </is>
      </c>
      <c r="G206" t="inlineStr">
        <is>
          <t>ÖDESHÖG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46309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46309</v>
      </c>
      <c r="F208" t="inlineStr">
        <is>
          <t>ÖSTERGÖTLANDS LÄN</t>
        </is>
      </c>
      <c r="G208" t="inlineStr">
        <is>
          <t>ÖDESHÖG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46280</v>
      </c>
      <c r="E209" s="1" t="n">
        <v>46309</v>
      </c>
      <c r="F209" t="inlineStr">
        <is>
          <t>ÖSTERGÖTLANDS LÄN</t>
        </is>
      </c>
      <c r="G209" t="inlineStr">
        <is>
          <t>ÖDESHÖG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46309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46309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46309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46309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46309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44623</v>
      </c>
      <c r="E215" s="1" t="n">
        <v>46309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46309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46309</v>
      </c>
      <c r="F217" t="inlineStr">
        <is>
          <t>ÖSTERGÖTLANDS LÄN</t>
        </is>
      </c>
      <c r="G217" t="inlineStr">
        <is>
          <t>ÖDESHÖG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15813-2022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44664</v>
      </c>
      <c r="E218" s="1" t="n">
        <v>46309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46309</v>
      </c>
      <c r="F219" t="inlineStr">
        <is>
          <t>ÖSTERGÖTLANDS LÄN</t>
        </is>
      </c>
      <c r="G219" t="inlineStr">
        <is>
          <t>ÖDESHÖG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46309</v>
      </c>
      <c r="F220" t="inlineStr">
        <is>
          <t>ÖSTERGÖTLANDS LÄN</t>
        </is>
      </c>
      <c r="G220" t="inlineStr">
        <is>
          <t>ÖDESHÖG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39658-2026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46289</v>
      </c>
      <c r="E221" s="1" t="n">
        <v>46309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45316</v>
      </c>
      <c r="E222" s="1" t="n">
        <v>46309</v>
      </c>
      <c r="F222" t="inlineStr">
        <is>
          <t>ÖSTERGÖTLANDS LÄN</t>
        </is>
      </c>
      <c r="G222" t="inlineStr">
        <is>
          <t>ÖDESHÖG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46309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46309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46309</v>
      </c>
      <c r="F225" t="inlineStr">
        <is>
          <t>ÖSTERGÖTLANDS LÄN</t>
        </is>
      </c>
      <c r="G225" t="inlineStr">
        <is>
          <t>ÖDESHÖG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46309</v>
      </c>
      <c r="F226" t="inlineStr">
        <is>
          <t>ÖSTERGÖTLANDS LÄN</t>
        </is>
      </c>
      <c r="G226" t="inlineStr">
        <is>
          <t>ÖDESHÖG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46309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46309</v>
      </c>
      <c r="F228" t="inlineStr">
        <is>
          <t>ÖSTERGÖTLANDS LÄN</t>
        </is>
      </c>
      <c r="G228" t="inlineStr">
        <is>
          <t>ÖDESHÖG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45516</v>
      </c>
      <c r="E229" s="1" t="n">
        <v>46309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46309</v>
      </c>
      <c r="F230" t="inlineStr">
        <is>
          <t>ÖSTERGÖTLANDS LÄN</t>
        </is>
      </c>
      <c r="G230" t="inlineStr">
        <is>
          <t>ÖDESHÖG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46309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46309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46309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46309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46306</v>
      </c>
      <c r="E235" s="1" t="n">
        <v>46309</v>
      </c>
      <c r="F235" t="inlineStr">
        <is>
          <t>ÖSTERGÖTLANDS LÄN</t>
        </is>
      </c>
      <c r="G235" t="inlineStr">
        <is>
          <t>ÖDESHÖG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46306</v>
      </c>
      <c r="E236" s="1" t="n">
        <v>46309</v>
      </c>
      <c r="F236" t="inlineStr">
        <is>
          <t>ÖSTERGÖTLANDS LÄN</t>
        </is>
      </c>
      <c r="G236" t="inlineStr">
        <is>
          <t>ÖDESHÖG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46309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46309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2026-10-14T02:03:48Z</dcterms:created>
  <dcterms:modified xmlns:dcterms="http://purl.org/dc/terms/" xmlns:xsi="http://www.w3.org/2001/XMLSchema-instance" xsi:type="dcterms:W3CDTF">2026-10-14T02:03:48Z</dcterms:modified>
</cp:coreProperties>
</file>