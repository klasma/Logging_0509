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46266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46266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46266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46266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46266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32776-2025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45839</v>
      </c>
      <c r="E10" s="1" t="n">
        <v>46266</v>
      </c>
      <c r="F10" t="inlineStr">
        <is>
          <t>ÖSTERGÖTLANDS LÄN</t>
        </is>
      </c>
      <c r="G10" t="inlineStr">
        <is>
          <t>ÖDESHÖG</t>
        </is>
      </c>
      <c r="I10" t="n">
        <v>1.3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Smalsprötad bastardsvärmare</t>
        </is>
      </c>
      <c r="W10">
        <f>HYPERLINK("https://klasma.github.io/Logging_0509/artfynd/A 32776-2025 artfynd.xlsx", "A 32776-2025")</f>
        <v/>
      </c>
      <c r="X10">
        <f>HYPERLINK("https://klasma.github.io/Logging_0509/kartor/A 32776-2025 karta.png", "A 32776-2025")</f>
        <v/>
      </c>
      <c r="Y10">
        <f>HYPERLINK("https://klasma.github.io/Logging_0509/kartor_geotiff/A 32776-2025 georefererad karta.tif", "A 32776-2025")</f>
        <v/>
      </c>
      <c r="AA10">
        <f>HYPERLINK("https://klasma.github.io/Logging_0509/klagomål/A 32776-2025 FSC-klagomål.docx", "A 32776-2025")</f>
        <v/>
      </c>
      <c r="AB10">
        <f>HYPERLINK("https://klasma.github.io/Logging_0509/klagomålsmail/A 32776-2025 FSC-klagomål mail.docx", "A 32776-2025")</f>
        <v/>
      </c>
      <c r="AC10">
        <f>HYPERLINK("https://klasma.github.io/Logging_0509/tillsyn/A 32776-2025 tillsynsbegäran.docx", "A 32776-2025")</f>
        <v/>
      </c>
      <c r="AD10">
        <f>HYPERLINK("https://klasma.github.io/Logging_0509/tillsynsmail/A 32776-2025 tillsynsbegäran mail.docx", "A 32776-2025")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46266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46266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46266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46266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46266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46266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46266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46266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46266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46266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46266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46266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46266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46266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46266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46266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46266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46266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46266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46266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46266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46266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46266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46266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46266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46266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46266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46266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45335</v>
      </c>
      <c r="E39" s="1" t="n">
        <v>46266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46266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46266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45093</v>
      </c>
      <c r="E42" s="1" t="n">
        <v>46266</v>
      </c>
      <c r="F42" t="inlineStr">
        <is>
          <t>ÖSTERGÖTLANDS LÄN</t>
        </is>
      </c>
      <c r="G42" t="inlineStr">
        <is>
          <t>ÖDESHÖG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45203</v>
      </c>
      <c r="E43" s="1" t="n">
        <v>46266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15813-2022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44664</v>
      </c>
      <c r="E44" s="1" t="n">
        <v>46266</v>
      </c>
      <c r="F44" t="inlineStr">
        <is>
          <t>ÖSTERGÖTLANDS LÄN</t>
        </is>
      </c>
      <c r="G44" t="inlineStr">
        <is>
          <t>ÖDESHÖG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46266</v>
      </c>
      <c r="F45" t="inlineStr">
        <is>
          <t>ÖSTERGÖTLANDS LÄN</t>
        </is>
      </c>
      <c r="G45" t="inlineStr">
        <is>
          <t>ÖDESHÖG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39024-2023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45163</v>
      </c>
      <c r="E46" s="1" t="n">
        <v>46266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21357-2025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45782</v>
      </c>
      <c r="E47" s="1" t="n">
        <v>46266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46266</v>
      </c>
      <c r="F48" t="inlineStr">
        <is>
          <t>ÖSTERGÖTLANDS LÄN</t>
        </is>
      </c>
      <c r="G48" t="inlineStr">
        <is>
          <t>ÖDESHÖG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45932</v>
      </c>
      <c r="E49" s="1" t="n">
        <v>46266</v>
      </c>
      <c r="F49" t="inlineStr">
        <is>
          <t>ÖSTERGÖTLANDS LÄN</t>
        </is>
      </c>
      <c r="G49" t="inlineStr">
        <is>
          <t>ÖDESHÖG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44069-2023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46266</v>
      </c>
      <c r="F50" t="inlineStr">
        <is>
          <t>ÖSTERGÖTLANDS LÄN</t>
        </is>
      </c>
      <c r="G50" t="inlineStr">
        <is>
          <t>ÖDESHÖG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48611-2025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45936</v>
      </c>
      <c r="E51" s="1" t="n">
        <v>46266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45936</v>
      </c>
      <c r="E52" s="1" t="n">
        <v>46266</v>
      </c>
      <c r="F52" t="inlineStr">
        <is>
          <t>ÖSTERGÖTLANDS LÄN</t>
        </is>
      </c>
      <c r="G52" t="inlineStr">
        <is>
          <t>ÖDESHÖG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56841-2022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44894</v>
      </c>
      <c r="E53" s="1" t="n">
        <v>46266</v>
      </c>
      <c r="F53" t="inlineStr">
        <is>
          <t>ÖSTERGÖTLANDS LÄN</t>
        </is>
      </c>
      <c r="G53" t="inlineStr">
        <is>
          <t>ÖDESHÖG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46266</v>
      </c>
      <c r="F54" t="inlineStr">
        <is>
          <t>ÖSTERGÖTLANDS LÄN</t>
        </is>
      </c>
      <c r="G54" t="inlineStr">
        <is>
          <t>ÖDESHÖG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48575-2025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45936</v>
      </c>
      <c r="E55" s="1" t="n">
        <v>46266</v>
      </c>
      <c r="F55" t="inlineStr">
        <is>
          <t>ÖSTERGÖTLANDS LÄN</t>
        </is>
      </c>
      <c r="G55" t="inlineStr">
        <is>
          <t>ÖDESHÖG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46266</v>
      </c>
      <c r="F56" t="inlineStr">
        <is>
          <t>ÖSTERGÖTLANDS LÄN</t>
        </is>
      </c>
      <c r="G56" t="inlineStr">
        <is>
          <t>ÖDESHÖG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46266</v>
      </c>
      <c r="F57" t="inlineStr">
        <is>
          <t>ÖSTERGÖTLANDS LÄN</t>
        </is>
      </c>
      <c r="G57" t="inlineStr">
        <is>
          <t>ÖDESHÖG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45726</v>
      </c>
      <c r="E58" s="1" t="n">
        <v>46266</v>
      </c>
      <c r="F58" t="inlineStr">
        <is>
          <t>ÖSTERGÖTLANDS LÄN</t>
        </is>
      </c>
      <c r="G58" t="inlineStr">
        <is>
          <t>ÖDESHÖG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15909-2024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45405</v>
      </c>
      <c r="E59" s="1" t="n">
        <v>46266</v>
      </c>
      <c r="F59" t="inlineStr">
        <is>
          <t>ÖSTERGÖTLANDS LÄN</t>
        </is>
      </c>
      <c r="G59" t="inlineStr">
        <is>
          <t>ÖDESHÖG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38259-2023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46266</v>
      </c>
      <c r="F60" t="inlineStr">
        <is>
          <t>ÖSTERGÖTLANDS LÄN</t>
        </is>
      </c>
      <c r="G60" t="inlineStr">
        <is>
          <t>ÖDESHÖG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21336-2025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45782</v>
      </c>
      <c r="E61" s="1" t="n">
        <v>46266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45902</v>
      </c>
      <c r="E62" s="1" t="n">
        <v>46266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45163</v>
      </c>
      <c r="E63" s="1" t="n">
        <v>46266</v>
      </c>
      <c r="F63" t="inlineStr">
        <is>
          <t>ÖSTERGÖTLANDS LÄN</t>
        </is>
      </c>
      <c r="G63" t="inlineStr">
        <is>
          <t>ÖDESHÖG</t>
        </is>
      </c>
      <c r="H63" t="inlineStr">
        <is>
          <t>Allmännings- och besparingsskogar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39920-2024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46266</v>
      </c>
      <c r="F64" t="inlineStr">
        <is>
          <t>ÖSTERGÖTLANDS LÄN</t>
        </is>
      </c>
      <c r="G64" t="inlineStr">
        <is>
          <t>ÖDESHÖG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45580</v>
      </c>
      <c r="E65" s="1" t="n">
        <v>46266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9448-2023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46266</v>
      </c>
      <c r="F66" t="inlineStr">
        <is>
          <t>ÖSTERGÖTLANDS LÄN</t>
        </is>
      </c>
      <c r="G66" t="inlineStr">
        <is>
          <t>ÖDESHÖG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46266</v>
      </c>
      <c r="F67" t="inlineStr">
        <is>
          <t>ÖSTERGÖTLANDS LÄN</t>
        </is>
      </c>
      <c r="G67" t="inlineStr">
        <is>
          <t>ÖDESHÖG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46266</v>
      </c>
      <c r="F68" t="inlineStr">
        <is>
          <t>ÖSTERGÖTLANDS LÄN</t>
        </is>
      </c>
      <c r="G68" t="inlineStr">
        <is>
          <t>ÖDESHÖG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45929</v>
      </c>
      <c r="E69" s="1" t="n">
        <v>46266</v>
      </c>
      <c r="F69" t="inlineStr">
        <is>
          <t>ÖSTERGÖTLANDS LÄN</t>
        </is>
      </c>
      <c r="G69" t="inlineStr">
        <is>
          <t>ÖDESHÖG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54226-2021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46266</v>
      </c>
      <c r="F70" t="inlineStr">
        <is>
          <t>ÖSTERGÖTLANDS LÄN</t>
        </is>
      </c>
      <c r="G70" t="inlineStr">
        <is>
          <t>ÖDESHÖG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46266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50416-2025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45944</v>
      </c>
      <c r="E72" s="1" t="n">
        <v>46266</v>
      </c>
      <c r="F72" t="inlineStr">
        <is>
          <t>ÖSTERGÖTLANDS LÄN</t>
        </is>
      </c>
      <c r="G72" t="inlineStr">
        <is>
          <t>ÖDESHÖG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46266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46266</v>
      </c>
      <c r="F74" t="inlineStr">
        <is>
          <t>ÖSTERGÖTLANDS LÄN</t>
        </is>
      </c>
      <c r="G74" t="inlineStr">
        <is>
          <t>ÖDESHÖG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51171-2025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46266</v>
      </c>
      <c r="F75" t="inlineStr">
        <is>
          <t>ÖSTERGÖTLANDS LÄN</t>
        </is>
      </c>
      <c r="G75" t="inlineStr">
        <is>
          <t>ÖDESHÖG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36075-2023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45149</v>
      </c>
      <c r="E76" s="1" t="n">
        <v>46266</v>
      </c>
      <c r="F76" t="inlineStr">
        <is>
          <t>ÖSTERGÖTLANDS LÄN</t>
        </is>
      </c>
      <c r="G76" t="inlineStr">
        <is>
          <t>ÖDESHÖG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30600-2025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46266</v>
      </c>
      <c r="F77" t="inlineStr">
        <is>
          <t>ÖSTERGÖTLANDS LÄN</t>
        </is>
      </c>
      <c r="G77" t="inlineStr">
        <is>
          <t>ÖDESHÖG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46266</v>
      </c>
      <c r="F78" t="inlineStr">
        <is>
          <t>ÖSTERGÖTLANDS LÄN</t>
        </is>
      </c>
      <c r="G78" t="inlineStr">
        <is>
          <t>ÖDESHÖG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46266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46266</v>
      </c>
      <c r="F80" t="inlineStr">
        <is>
          <t>ÖSTERGÖTLANDS LÄN</t>
        </is>
      </c>
      <c r="G80" t="inlineStr">
        <is>
          <t>ÖDESHÖG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46266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32476-2025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45838</v>
      </c>
      <c r="E82" s="1" t="n">
        <v>46266</v>
      </c>
      <c r="F82" t="inlineStr">
        <is>
          <t>ÖSTERGÖTLANDS LÄN</t>
        </is>
      </c>
      <c r="G82" t="inlineStr">
        <is>
          <t>ÖDESHÖG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46266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46266</v>
      </c>
      <c r="F84" t="inlineStr">
        <is>
          <t>ÖSTERGÖTLANDS LÄN</t>
        </is>
      </c>
      <c r="G84" t="inlineStr">
        <is>
          <t>ÖDESHÖG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45416</v>
      </c>
      <c r="E85" s="1" t="n">
        <v>46266</v>
      </c>
      <c r="F85" t="inlineStr">
        <is>
          <t>ÖSTERGÖTLANDS LÄN</t>
        </is>
      </c>
      <c r="G85" t="inlineStr">
        <is>
          <t>ÖDESHÖG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46266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45693</v>
      </c>
      <c r="E87" s="1" t="n">
        <v>46266</v>
      </c>
      <c r="F87" t="inlineStr">
        <is>
          <t>ÖSTERGÖTLANDS LÄN</t>
        </is>
      </c>
      <c r="G87" t="inlineStr">
        <is>
          <t>ÖDESHÖG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46266</v>
      </c>
      <c r="F88" t="inlineStr">
        <is>
          <t>ÖSTERGÖTLANDS LÄN</t>
        </is>
      </c>
      <c r="G88" t="inlineStr">
        <is>
          <t>ÖDESHÖG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14156-2023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45009</v>
      </c>
      <c r="E89" s="1" t="n">
        <v>46266</v>
      </c>
      <c r="F89" t="inlineStr">
        <is>
          <t>ÖSTERGÖTLANDS LÄN</t>
        </is>
      </c>
      <c r="G89" t="inlineStr">
        <is>
          <t>ÖDESHÖG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45002</v>
      </c>
      <c r="E90" s="1" t="n">
        <v>46266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45146</v>
      </c>
      <c r="E91" s="1" t="n">
        <v>46266</v>
      </c>
      <c r="F91" t="inlineStr">
        <is>
          <t>ÖSTERGÖTLANDS LÄN</t>
        </is>
      </c>
      <c r="G91" t="inlineStr">
        <is>
          <t>ÖDESHÖG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16270-2024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45407</v>
      </c>
      <c r="E92" s="1" t="n">
        <v>46266</v>
      </c>
      <c r="F92" t="inlineStr">
        <is>
          <t>ÖSTERGÖTLANDS LÄN</t>
        </is>
      </c>
      <c r="G92" t="inlineStr">
        <is>
          <t>ÖDESHÖG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46266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45699</v>
      </c>
      <c r="E94" s="1" t="n">
        <v>46266</v>
      </c>
      <c r="F94" t="inlineStr">
        <is>
          <t>ÖSTERGÖTLANDS LÄN</t>
        </is>
      </c>
      <c r="G94" t="inlineStr">
        <is>
          <t>ÖDESHÖG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45512</v>
      </c>
      <c r="E95" s="1" t="n">
        <v>46266</v>
      </c>
      <c r="F95" t="inlineStr">
        <is>
          <t>ÖSTERGÖTLANDS LÄN</t>
        </is>
      </c>
      <c r="G95" t="inlineStr">
        <is>
          <t>ÖDESHÖG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45049</v>
      </c>
      <c r="E96" s="1" t="n">
        <v>46266</v>
      </c>
      <c r="F96" t="inlineStr">
        <is>
          <t>ÖSTERGÖTLANDS LÄN</t>
        </is>
      </c>
      <c r="G96" t="inlineStr">
        <is>
          <t>ÖDESHÖG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45776</v>
      </c>
      <c r="E97" s="1" t="n">
        <v>46266</v>
      </c>
      <c r="F97" t="inlineStr">
        <is>
          <t>ÖSTERGÖTLANDS LÄN</t>
        </is>
      </c>
      <c r="G97" t="inlineStr">
        <is>
          <t>ÖDESHÖG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46266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46266</v>
      </c>
      <c r="F99" t="inlineStr">
        <is>
          <t>ÖSTERGÖTLANDS LÄN</t>
        </is>
      </c>
      <c r="G99" t="inlineStr">
        <is>
          <t>ÖDESHÖG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46266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45512</v>
      </c>
      <c r="E101" s="1" t="n">
        <v>46266</v>
      </c>
      <c r="F101" t="inlineStr">
        <is>
          <t>ÖSTERGÖTLANDS LÄN</t>
        </is>
      </c>
      <c r="G101" t="inlineStr">
        <is>
          <t>ÖDESHÖG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8515-2022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44613</v>
      </c>
      <c r="E102" s="1" t="n">
        <v>46266</v>
      </c>
      <c r="F102" t="inlineStr">
        <is>
          <t>ÖSTERGÖTLANDS LÄN</t>
        </is>
      </c>
      <c r="G102" t="inlineStr">
        <is>
          <t>ÖDESHÖG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46266</v>
      </c>
      <c r="F103" t="inlineStr">
        <is>
          <t>ÖSTERGÖTLANDS LÄN</t>
        </is>
      </c>
      <c r="G103" t="inlineStr">
        <is>
          <t>ÖDESHÖG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45519</v>
      </c>
      <c r="E104" s="1" t="n">
        <v>46266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43263-2023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45183</v>
      </c>
      <c r="E105" s="1" t="n">
        <v>46266</v>
      </c>
      <c r="F105" t="inlineStr">
        <is>
          <t>ÖSTERGÖTLANDS LÄN</t>
        </is>
      </c>
      <c r="G105" t="inlineStr">
        <is>
          <t>ÖDESHÖG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45582</v>
      </c>
      <c r="E106" s="1" t="n">
        <v>46266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45161</v>
      </c>
      <c r="E107" s="1" t="n">
        <v>46266</v>
      </c>
      <c r="F107" t="inlineStr">
        <is>
          <t>ÖSTERGÖTLANDS LÄN</t>
        </is>
      </c>
      <c r="G107" t="inlineStr">
        <is>
          <t>ÖDESHÖG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45678</v>
      </c>
      <c r="E108" s="1" t="n">
        <v>46266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15907-2024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45405</v>
      </c>
      <c r="E109" s="1" t="n">
        <v>46266</v>
      </c>
      <c r="F109" t="inlineStr">
        <is>
          <t>ÖSTERGÖTLANDS LÄN</t>
        </is>
      </c>
      <c r="G109" t="inlineStr">
        <is>
          <t>ÖDESHÖG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15915-2024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45405</v>
      </c>
      <c r="E110" s="1" t="n">
        <v>46266</v>
      </c>
      <c r="F110" t="inlineStr">
        <is>
          <t>ÖSTERGÖTLANDS LÄN</t>
        </is>
      </c>
      <c r="G110" t="inlineStr">
        <is>
          <t>ÖDESHÖG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46266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46266</v>
      </c>
      <c r="F112" t="inlineStr">
        <is>
          <t>ÖSTERGÖTLANDS LÄN</t>
        </is>
      </c>
      <c r="G112" t="inlineStr">
        <is>
          <t>ÖDESHÖG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61798-2025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46266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46266</v>
      </c>
      <c r="F114" t="inlineStr">
        <is>
          <t>ÖSTERGÖTLANDS LÄN</t>
        </is>
      </c>
      <c r="G114" t="inlineStr">
        <is>
          <t>ÖDESHÖG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46266</v>
      </c>
      <c r="F115" t="inlineStr">
        <is>
          <t>ÖSTERGÖTLANDS LÄN</t>
        </is>
      </c>
      <c r="G115" t="inlineStr">
        <is>
          <t>ÖDESHÖG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46003</v>
      </c>
      <c r="E116" s="1" t="n">
        <v>46266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46266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61629-2025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46266</v>
      </c>
      <c r="F118" t="inlineStr">
        <is>
          <t>ÖSTERGÖTLANDS LÄN</t>
        </is>
      </c>
      <c r="G118" t="inlineStr">
        <is>
          <t>ÖDESHÖG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46007</v>
      </c>
      <c r="E119" s="1" t="n">
        <v>46266</v>
      </c>
      <c r="F119" t="inlineStr">
        <is>
          <t>ÖSTERGÖTLANDS LÄN</t>
        </is>
      </c>
      <c r="G119" t="inlineStr">
        <is>
          <t>ÖDESHÖG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46266</v>
      </c>
      <c r="F120" t="inlineStr">
        <is>
          <t>ÖSTERGÖTLANDS LÄN</t>
        </is>
      </c>
      <c r="G120" t="inlineStr">
        <is>
          <t>ÖDESHÖG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45707</v>
      </c>
      <c r="E121" s="1" t="n">
        <v>46266</v>
      </c>
      <c r="F121" t="inlineStr">
        <is>
          <t>ÖSTERGÖTLANDS LÄN</t>
        </is>
      </c>
      <c r="G121" t="inlineStr">
        <is>
          <t>ÖDESHÖG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32715-2024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46266</v>
      </c>
      <c r="F122" t="inlineStr">
        <is>
          <t>ÖSTERGÖTLANDS LÄN</t>
        </is>
      </c>
      <c r="G122" t="inlineStr">
        <is>
          <t>ÖDESHÖG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46266</v>
      </c>
      <c r="F123" t="inlineStr">
        <is>
          <t>ÖSTERGÖTLANDS LÄN</t>
        </is>
      </c>
      <c r="G123" t="inlineStr">
        <is>
          <t>ÖDESHÖG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45671</v>
      </c>
      <c r="E124" s="1" t="n">
        <v>46266</v>
      </c>
      <c r="F124" t="inlineStr">
        <is>
          <t>ÖSTERGÖTLANDS LÄN</t>
        </is>
      </c>
      <c r="G124" t="inlineStr">
        <is>
          <t>ÖDESHÖG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62801-2025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46266</v>
      </c>
      <c r="F125" t="inlineStr">
        <is>
          <t>ÖSTERGÖTLANDS LÄN</t>
        </is>
      </c>
      <c r="G125" t="inlineStr">
        <is>
          <t>ÖDESHÖG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46021</v>
      </c>
      <c r="E126" s="1" t="n">
        <v>46266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15.4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64015-2025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46021</v>
      </c>
      <c r="E127" s="1" t="n">
        <v>46266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46266</v>
      </c>
      <c r="F128" t="inlineStr">
        <is>
          <t>ÖSTERGÖTLANDS LÄN</t>
        </is>
      </c>
      <c r="G128" t="inlineStr">
        <is>
          <t>ÖDESHÖG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45412</v>
      </c>
      <c r="E129" s="1" t="n">
        <v>46266</v>
      </c>
      <c r="F129" t="inlineStr">
        <is>
          <t>ÖSTERGÖTLANDS LÄN</t>
        </is>
      </c>
      <c r="G129" t="inlineStr">
        <is>
          <t>ÖDESHÖG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46031</v>
      </c>
      <c r="E130" s="1" t="n">
        <v>46266</v>
      </c>
      <c r="F130" t="inlineStr">
        <is>
          <t>ÖSTERGÖTLANDS LÄN</t>
        </is>
      </c>
      <c r="G130" t="inlineStr">
        <is>
          <t>ÖDESHÖG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46031</v>
      </c>
      <c r="E131" s="1" t="n">
        <v>46266</v>
      </c>
      <c r="F131" t="inlineStr">
        <is>
          <t>ÖSTERGÖTLANDS LÄN</t>
        </is>
      </c>
      <c r="G131" t="inlineStr">
        <is>
          <t>ÖDESHÖG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46266</v>
      </c>
      <c r="F132" t="inlineStr">
        <is>
          <t>ÖSTERGÖTLANDS LÄN</t>
        </is>
      </c>
      <c r="G132" t="inlineStr">
        <is>
          <t>ÖDESHÖG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46266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46031</v>
      </c>
      <c r="E134" s="1" t="n">
        <v>46266</v>
      </c>
      <c r="F134" t="inlineStr">
        <is>
          <t>ÖSTERGÖTLANDS LÄN</t>
        </is>
      </c>
      <c r="G134" t="inlineStr">
        <is>
          <t>ÖDESHÖG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46266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46266</v>
      </c>
      <c r="F136" t="inlineStr">
        <is>
          <t>ÖSTERGÖTLANDS LÄN</t>
        </is>
      </c>
      <c r="G136" t="inlineStr">
        <is>
          <t>ÖDESHÖG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46266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45065</v>
      </c>
      <c r="E138" s="1" t="n">
        <v>46266</v>
      </c>
      <c r="F138" t="inlineStr">
        <is>
          <t>ÖSTERGÖTLANDS LÄN</t>
        </is>
      </c>
      <c r="G138" t="inlineStr">
        <is>
          <t>ÖDESHÖG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64802-2021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44512</v>
      </c>
      <c r="E139" s="1" t="n">
        <v>46266</v>
      </c>
      <c r="F139" t="inlineStr">
        <is>
          <t>ÖSTERGÖTLANDS LÄN</t>
        </is>
      </c>
      <c r="G139" t="inlineStr">
        <is>
          <t>ÖDESHÖG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45750</v>
      </c>
      <c r="E140" s="1" t="n">
        <v>46266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45316</v>
      </c>
      <c r="E141" s="1" t="n">
        <v>46266</v>
      </c>
      <c r="F141" t="inlineStr">
        <is>
          <t>ÖSTERGÖTLANDS LÄN</t>
        </is>
      </c>
      <c r="G141" t="inlineStr">
        <is>
          <t>ÖDESHÖG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51180-2024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46266</v>
      </c>
      <c r="F142" t="inlineStr">
        <is>
          <t>ÖSTERGÖTLANDS LÄN</t>
        </is>
      </c>
      <c r="G142" t="inlineStr">
        <is>
          <t>ÖDESHÖG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35229-2023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45145</v>
      </c>
      <c r="E143" s="1" t="n">
        <v>46266</v>
      </c>
      <c r="F143" t="inlineStr">
        <is>
          <t>ÖSTERGÖTLANDS LÄN</t>
        </is>
      </c>
      <c r="G143" t="inlineStr">
        <is>
          <t>ÖDESHÖG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46266</v>
      </c>
      <c r="F144" t="inlineStr">
        <is>
          <t>ÖSTERGÖTLANDS LÄN</t>
        </is>
      </c>
      <c r="G144" t="inlineStr">
        <is>
          <t>ÖDESHÖG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45603</v>
      </c>
      <c r="E145" s="1" t="n">
        <v>46266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45048</v>
      </c>
      <c r="E146" s="1" t="n">
        <v>46266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46266</v>
      </c>
      <c r="F147" t="inlineStr">
        <is>
          <t>ÖSTERGÖTLANDS LÄN</t>
        </is>
      </c>
      <c r="G147" t="inlineStr">
        <is>
          <t>ÖDESHÖG</t>
        </is>
      </c>
      <c r="I147" t="n">
        <v>13.4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46266</v>
      </c>
      <c r="F148" t="inlineStr">
        <is>
          <t>ÖSTERGÖTLANDS LÄN</t>
        </is>
      </c>
      <c r="G148" t="inlineStr">
        <is>
          <t>ÖDESHÖG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45027</v>
      </c>
      <c r="E149" s="1" t="n">
        <v>46266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46266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46266</v>
      </c>
      <c r="F151" t="inlineStr">
        <is>
          <t>ÖSTERGÖTLANDS LÄN</t>
        </is>
      </c>
      <c r="G151" t="inlineStr">
        <is>
          <t>ÖDESHÖG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14166-2023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45009</v>
      </c>
      <c r="E152" s="1" t="n">
        <v>46266</v>
      </c>
      <c r="F152" t="inlineStr">
        <is>
          <t>ÖSTERGÖTLANDS LÄN</t>
        </is>
      </c>
      <c r="G152" t="inlineStr">
        <is>
          <t>ÖDESHÖG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46266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10335-2022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44623</v>
      </c>
      <c r="E154" s="1" t="n">
        <v>46266</v>
      </c>
      <c r="F154" t="inlineStr">
        <is>
          <t>ÖSTERGÖTLANDS LÄN</t>
        </is>
      </c>
      <c r="G154" t="inlineStr">
        <is>
          <t>ÖDESHÖG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46266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44700</v>
      </c>
      <c r="E156" s="1" t="n">
        <v>46266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46266</v>
      </c>
      <c r="F157" t="inlineStr">
        <is>
          <t>ÖSTERGÖTLANDS LÄN</t>
        </is>
      </c>
      <c r="G157" t="inlineStr">
        <is>
          <t>ÖDESHÖG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46092</v>
      </c>
      <c r="E158" s="1" t="n">
        <v>46266</v>
      </c>
      <c r="F158" t="inlineStr">
        <is>
          <t>ÖSTERGÖTLANDS LÄN</t>
        </is>
      </c>
      <c r="G158" t="inlineStr">
        <is>
          <t>ÖDESHÖG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46266</v>
      </c>
      <c r="F159" t="inlineStr">
        <is>
          <t>ÖSTERGÖTLANDS LÄN</t>
        </is>
      </c>
      <c r="G159" t="inlineStr">
        <is>
          <t>ÖDESHÖG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46266</v>
      </c>
      <c r="F160" t="inlineStr">
        <is>
          <t>ÖSTERGÖTLANDS LÄN</t>
        </is>
      </c>
      <c r="G160" t="inlineStr">
        <is>
          <t>ÖDESHÖG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37843-2023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45160</v>
      </c>
      <c r="E161" s="1" t="n">
        <v>46266</v>
      </c>
      <c r="F161" t="inlineStr">
        <is>
          <t>ÖSTERGÖTLANDS LÄN</t>
        </is>
      </c>
      <c r="G161" t="inlineStr">
        <is>
          <t>ÖDESHÖG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46266</v>
      </c>
      <c r="F162" t="inlineStr">
        <is>
          <t>ÖSTERGÖTLANDS LÄN</t>
        </is>
      </c>
      <c r="G162" t="inlineStr">
        <is>
          <t>ÖDESHÖG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46266</v>
      </c>
      <c r="F163" t="inlineStr">
        <is>
          <t>ÖSTERGÖTLANDS LÄN</t>
        </is>
      </c>
      <c r="G163" t="inlineStr">
        <is>
          <t>ÖDESHÖG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46101</v>
      </c>
      <c r="E164" s="1" t="n">
        <v>46266</v>
      </c>
      <c r="F164" t="inlineStr">
        <is>
          <t>ÖSTERGÖTLANDS LÄN</t>
        </is>
      </c>
      <c r="G164" t="inlineStr">
        <is>
          <t>ÖDESHÖG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46266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6.9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46266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46266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46266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16341-2026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46111</v>
      </c>
      <c r="E169" s="1" t="n">
        <v>46266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46266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50387-2024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45600</v>
      </c>
      <c r="E171" s="1" t="n">
        <v>46266</v>
      </c>
      <c r="F171" t="inlineStr">
        <is>
          <t>ÖSTERGÖTLANDS LÄN</t>
        </is>
      </c>
      <c r="G171" t="inlineStr">
        <is>
          <t>ÖDESHÖG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46109</v>
      </c>
      <c r="E172" s="1" t="n">
        <v>46266</v>
      </c>
      <c r="F172" t="inlineStr">
        <is>
          <t>ÖSTERGÖTLANDS LÄN</t>
        </is>
      </c>
      <c r="G172" t="inlineStr">
        <is>
          <t>ÖDESHÖG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46266</v>
      </c>
      <c r="F173" t="inlineStr">
        <is>
          <t>ÖSTERGÖTLANDS LÄN</t>
        </is>
      </c>
      <c r="G173" t="inlineStr">
        <is>
          <t>ÖDESHÖG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46266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46266</v>
      </c>
      <c r="F175" t="inlineStr">
        <is>
          <t>ÖSTERGÖTLANDS LÄN</t>
        </is>
      </c>
      <c r="G175" t="inlineStr">
        <is>
          <t>ÖDESHÖG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46266</v>
      </c>
      <c r="F176" t="inlineStr">
        <is>
          <t>ÖSTERGÖTLANDS LÄN</t>
        </is>
      </c>
      <c r="G176" t="inlineStr">
        <is>
          <t>ÖDESHÖG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46109</v>
      </c>
      <c r="E177" s="1" t="n">
        <v>46266</v>
      </c>
      <c r="F177" t="inlineStr">
        <is>
          <t>ÖSTERGÖTLANDS LÄN</t>
        </is>
      </c>
      <c r="G177" t="inlineStr">
        <is>
          <t>ÖDESHÖG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46122</v>
      </c>
      <c r="E178" s="1" t="n">
        <v>46266</v>
      </c>
      <c r="F178" t="inlineStr">
        <is>
          <t>ÖSTERGÖTLANDS LÄN</t>
        </is>
      </c>
      <c r="G178" t="inlineStr">
        <is>
          <t>ÖDESHÖG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45027</v>
      </c>
      <c r="E179" s="1" t="n">
        <v>46266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21770-2023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45065</v>
      </c>
      <c r="E180" s="1" t="n">
        <v>46266</v>
      </c>
      <c r="F180" t="inlineStr">
        <is>
          <t>ÖSTERGÖTLANDS LÄN</t>
        </is>
      </c>
      <c r="G180" t="inlineStr">
        <is>
          <t>ÖDESHÖG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45533</v>
      </c>
      <c r="E181" s="1" t="n">
        <v>46266</v>
      </c>
      <c r="F181" t="inlineStr">
        <is>
          <t>ÖSTERGÖTLANDS LÄN</t>
        </is>
      </c>
      <c r="G181" t="inlineStr">
        <is>
          <t>ÖDESHÖG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46266</v>
      </c>
      <c r="F182" t="inlineStr">
        <is>
          <t>ÖSTERGÖTLANDS LÄN</t>
        </is>
      </c>
      <c r="G182" t="inlineStr">
        <is>
          <t>ÖDESHÖG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15906-2024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45405</v>
      </c>
      <c r="E183" s="1" t="n">
        <v>46266</v>
      </c>
      <c r="F183" t="inlineStr">
        <is>
          <t>ÖSTERGÖTLANDS LÄN</t>
        </is>
      </c>
      <c r="G183" t="inlineStr">
        <is>
          <t>ÖDESHÖG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46266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45145</v>
      </c>
      <c r="E185" s="1" t="n">
        <v>46266</v>
      </c>
      <c r="F185" t="inlineStr">
        <is>
          <t>ÖSTERGÖTLANDS LÄN</t>
        </is>
      </c>
      <c r="G185" t="inlineStr">
        <is>
          <t>ÖDESHÖG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46266</v>
      </c>
      <c r="F186" t="inlineStr">
        <is>
          <t>ÖSTERGÖTLANDS LÄN</t>
        </is>
      </c>
      <c r="G186" t="inlineStr">
        <is>
          <t>ÖDESHÖG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30964-2023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46266</v>
      </c>
      <c r="F187" t="inlineStr">
        <is>
          <t>ÖSTERGÖTLANDS LÄN</t>
        </is>
      </c>
      <c r="G187" t="inlineStr">
        <is>
          <t>ÖDESHÖG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45692</v>
      </c>
      <c r="E188" s="1" t="n">
        <v>46266</v>
      </c>
      <c r="F188" t="inlineStr">
        <is>
          <t>ÖSTERGÖTLANDS LÄN</t>
        </is>
      </c>
      <c r="G188" t="inlineStr">
        <is>
          <t>ÖDESHÖG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48325-2022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44858</v>
      </c>
      <c r="E189" s="1" t="n">
        <v>46266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46266</v>
      </c>
      <c r="F190" t="inlineStr">
        <is>
          <t>ÖSTERGÖTLANDS LÄN</t>
        </is>
      </c>
      <c r="G190" t="inlineStr">
        <is>
          <t>ÖDESHÖG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46266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46024</v>
      </c>
      <c r="E192" s="1" t="n">
        <v>46266</v>
      </c>
      <c r="F192" t="inlineStr">
        <is>
          <t>ÖSTERGÖTLANDS LÄN</t>
        </is>
      </c>
      <c r="G192" t="inlineStr">
        <is>
          <t>ÖDESHÖG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63074-2025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46266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11193-2023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44992</v>
      </c>
      <c r="E194" s="1" t="n">
        <v>46266</v>
      </c>
      <c r="F194" t="inlineStr">
        <is>
          <t>ÖSTERGÖTLANDS LÄN</t>
        </is>
      </c>
      <c r="G194" t="inlineStr">
        <is>
          <t>ÖDESHÖG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46266</v>
      </c>
      <c r="F195" t="inlineStr">
        <is>
          <t>ÖSTERGÖTLANDS LÄN</t>
        </is>
      </c>
      <c r="G195" t="inlineStr">
        <is>
          <t>ÖDESHÖG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45491</v>
      </c>
      <c r="E196" s="1" t="n">
        <v>46266</v>
      </c>
      <c r="F196" t="inlineStr">
        <is>
          <t>ÖSTERGÖTLANDS LÄN</t>
        </is>
      </c>
      <c r="G196" t="inlineStr">
        <is>
          <t>ÖDESHÖG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35380-2023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46266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46266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Allmännings- och besparingsskogar</t>
        </is>
      </c>
      <c r="I198" t="n">
        <v>22.7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44796</v>
      </c>
      <c r="E199" s="1" t="n">
        <v>46266</v>
      </c>
      <c r="F199" t="inlineStr">
        <is>
          <t>ÖSTERGÖTLANDS LÄN</t>
        </is>
      </c>
      <c r="G199" t="inlineStr">
        <is>
          <t>ÖDESHÖG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46266</v>
      </c>
      <c r="F200" t="inlineStr">
        <is>
          <t>ÖSTERGÖTLANDS LÄN</t>
        </is>
      </c>
      <c r="G200" t="inlineStr">
        <is>
          <t>ÖDESHÖG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14185-2023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45009</v>
      </c>
      <c r="E201" s="1" t="n">
        <v>46266</v>
      </c>
      <c r="F201" t="inlineStr">
        <is>
          <t>ÖSTERGÖTLANDS LÄN</t>
        </is>
      </c>
      <c r="G201" t="inlineStr">
        <is>
          <t>ÖDESHÖG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46266</v>
      </c>
      <c r="F202" t="inlineStr">
        <is>
          <t>ÖSTERGÖTLANDS LÄN</t>
        </is>
      </c>
      <c r="G202" t="inlineStr">
        <is>
          <t>ÖDESHÖG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46266</v>
      </c>
      <c r="F203" t="inlineStr">
        <is>
          <t>ÖSTERGÖTLANDS LÄN</t>
        </is>
      </c>
      <c r="G203" t="inlineStr">
        <is>
          <t>ÖDESHÖG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39190-2023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45166</v>
      </c>
      <c r="E204" s="1" t="n">
        <v>46266</v>
      </c>
      <c r="F204" t="inlineStr">
        <is>
          <t>ÖSTERGÖTLANDS LÄN</t>
        </is>
      </c>
      <c r="G204" t="inlineStr">
        <is>
          <t>ÖDESHÖG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45617</v>
      </c>
      <c r="E205" s="1" t="n">
        <v>46266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61011-2024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45645</v>
      </c>
      <c r="E206" s="1" t="n">
        <v>46266</v>
      </c>
      <c r="F206" t="inlineStr">
        <is>
          <t>ÖSTERGÖTLANDS LÄN</t>
        </is>
      </c>
      <c r="G206" t="inlineStr">
        <is>
          <t>ÖDESHÖG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46266</v>
      </c>
      <c r="F207" t="inlineStr">
        <is>
          <t>ÖSTERGÖTLANDS LÄN</t>
        </is>
      </c>
      <c r="G207" t="inlineStr">
        <is>
          <t>ÖDESHÖG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46266</v>
      </c>
      <c r="F208" t="inlineStr">
        <is>
          <t>ÖSTERGÖTLANDS LÄN</t>
        </is>
      </c>
      <c r="G208" t="inlineStr">
        <is>
          <t>ÖDESHÖG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46266</v>
      </c>
      <c r="F209" t="inlineStr">
        <is>
          <t>ÖSTERGÖTLANDS LÄN</t>
        </is>
      </c>
      <c r="G209" t="inlineStr">
        <is>
          <t>ÖDESHÖG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46266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46266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46266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46266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46266</v>
      </c>
      <c r="F214" t="inlineStr">
        <is>
          <t>ÖSTERGÖTLANDS LÄN</t>
        </is>
      </c>
      <c r="G214" t="inlineStr">
        <is>
          <t>ÖDESHÖG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46266</v>
      </c>
      <c r="F215" t="inlineStr">
        <is>
          <t>ÖSTERGÖTLANDS LÄN</t>
        </is>
      </c>
      <c r="G215" t="inlineStr">
        <is>
          <t>ÖDESHÖG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46266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46266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44999</v>
      </c>
      <c r="E218" s="1" t="n">
        <v>46266</v>
      </c>
      <c r="F218" t="inlineStr">
        <is>
          <t>ÖSTERGÖTLANDS LÄN</t>
        </is>
      </c>
      <c r="G218" t="inlineStr">
        <is>
          <t>ÖDESHÖG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25975-2026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46266</v>
      </c>
      <c r="F219" t="inlineStr">
        <is>
          <t>ÖSTERGÖTLANDS LÄN</t>
        </is>
      </c>
      <c r="G219" t="inlineStr">
        <is>
          <t>ÖDESHÖG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44812</v>
      </c>
      <c r="E220" s="1" t="n">
        <v>46266</v>
      </c>
      <c r="F220" t="inlineStr">
        <is>
          <t>ÖSTERGÖTLANDS LÄN</t>
        </is>
      </c>
      <c r="G220" t="inlineStr">
        <is>
          <t>ÖDESHÖG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46266</v>
      </c>
      <c r="F221" t="inlineStr">
        <is>
          <t>ÖSTERGÖTLANDS LÄN</t>
        </is>
      </c>
      <c r="G221" t="inlineStr">
        <is>
          <t>ÖDESHÖG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27292-2026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46266</v>
      </c>
      <c r="F222" t="inlineStr">
        <is>
          <t>ÖSTERGÖTLANDS LÄN</t>
        </is>
      </c>
      <c r="G222" t="inlineStr">
        <is>
          <t>ÖDESHÖG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46266</v>
      </c>
      <c r="F223" t="inlineStr">
        <is>
          <t>ÖSTERGÖTLANDS LÄN</t>
        </is>
      </c>
      <c r="G223" t="inlineStr">
        <is>
          <t>ÖDESHÖG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45397</v>
      </c>
      <c r="E224" s="1" t="n">
        <v>46266</v>
      </c>
      <c r="F224" t="inlineStr">
        <is>
          <t>ÖSTERGÖTLANDS LÄN</t>
        </is>
      </c>
      <c r="G224" t="inlineStr">
        <is>
          <t>ÖDESHÖG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46266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46266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46266</v>
      </c>
      <c r="F227" t="inlineStr">
        <is>
          <t>ÖSTERGÖTLANDS LÄN</t>
        </is>
      </c>
      <c r="G227" t="inlineStr">
        <is>
          <t>ÖDESHÖG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46266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28718-2026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46266</v>
      </c>
      <c r="F229" t="inlineStr">
        <is>
          <t>ÖSTERGÖTLANDS LÄN</t>
        </is>
      </c>
      <c r="G229" t="inlineStr">
        <is>
          <t>ÖDESHÖG</t>
        </is>
      </c>
      <c r="H229" t="inlineStr">
        <is>
          <t>Allmännings- och besparingsskogar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46198</v>
      </c>
      <c r="E230" s="1" t="n">
        <v>46266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46266</v>
      </c>
      <c r="F231" t="inlineStr">
        <is>
          <t>ÖSTERGÖTLANDS LÄN</t>
        </is>
      </c>
      <c r="G231" t="inlineStr">
        <is>
          <t>ÖDESHÖG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46199</v>
      </c>
      <c r="E232" s="1" t="n">
        <v>46266</v>
      </c>
      <c r="F232" t="inlineStr">
        <is>
          <t>ÖSTERGÖTLANDS LÄN</t>
        </is>
      </c>
      <c r="G232" t="inlineStr">
        <is>
          <t>ÖDESHÖG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46266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46266</v>
      </c>
      <c r="F234" t="inlineStr">
        <is>
          <t>ÖSTERGÖTLANDS LÄN</t>
        </is>
      </c>
      <c r="G234" t="inlineStr">
        <is>
          <t>ÖDESHÖG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46266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46266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46266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2026-09-01T02:07:05Z</dcterms:created>
  <dcterms:modified xmlns:dcterms="http://purl.org/dc/terms/" xmlns:xsi="http://www.w3.org/2001/XMLSchema-instance" xsi:type="dcterms:W3CDTF">2026-09-01T02:07:05Z</dcterms:modified>
</cp:coreProperties>
</file>