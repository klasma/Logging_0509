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46241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46241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46241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46241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Knärot
Revlummer</t>
        </is>
      </c>
      <c r="W5">
        <f>HYPERLINK("https://klasma.github.io/Logging_0509/artfynd/A 40493-2021 artfynd.xlsx", "A 40493-2021")</f>
        <v/>
      </c>
      <c r="X5">
        <f>HYPERLINK("https://klasma.github.io/Logging_0509/kartor/A 40493-2021 karta.png", "A 40493-2021")</f>
        <v/>
      </c>
      <c r="Y5">
        <f>HYPERLINK("https://klasma.github.io/Logging_0509/kartor_geotiff/A 40493-2021 georefererad karta.tif", "A 40493-2021")</f>
        <v/>
      </c>
      <c r="Z5">
        <f>HYPERLINK("https://klasma.github.io/Logging_0509/knärot/A 40493-2021 karta knärot.png", "A 40493-2021")</f>
        <v/>
      </c>
      <c r="AA5">
        <f>HYPERLINK("https://klasma.github.io/Logging_0509/klagomål/A 40493-2021 FSC-klagomål.docx", "A 40493-2021")</f>
        <v/>
      </c>
      <c r="AB5">
        <f>HYPERLINK("https://klasma.github.io/Logging_0509/klagomålsmail/A 40493-2021 FSC-klagomål mail.docx", "A 40493-2021")</f>
        <v/>
      </c>
      <c r="AC5">
        <f>HYPERLINK("https://klasma.github.io/Logging_0509/tillsyn/A 40493-2021 tillsynsbegäran.docx", "A 40493-2021")</f>
        <v/>
      </c>
      <c r="AD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46241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Trubbfjädermossa
Hasselmus</t>
        </is>
      </c>
      <c r="W6">
        <f>HYPERLINK("https://klasma.github.io/Logging_0509/artfynd/A 15823-2022 artfynd.xlsx", "A 15823-2022")</f>
        <v/>
      </c>
      <c r="X6">
        <f>HYPERLINK("https://klasma.github.io/Logging_0509/kartor/A 15823-2022 karta.png", "A 15823-2022")</f>
        <v/>
      </c>
      <c r="Y6">
        <f>HYPERLINK("https://klasma.github.io/Logging_0509/kartor_geotiff/A 15823-2022 georefererad karta.tif", "A 15823-2022")</f>
        <v/>
      </c>
      <c r="AA6">
        <f>HYPERLINK("https://klasma.github.io/Logging_0509/klagomål/A 15823-2022 FSC-klagomål.docx", "A 15823-2022")</f>
        <v/>
      </c>
      <c r="AB6">
        <f>HYPERLINK("https://klasma.github.io/Logging_0509/klagomålsmail/A 15823-2022 FSC-klagomål mail.docx", "A 15823-2022")</f>
        <v/>
      </c>
      <c r="AC6">
        <f>HYPERLINK("https://klasma.github.io/Logging_0509/tillsyn/A 15823-2022 tillsynsbegäran.docx", "A 15823-2022")</f>
        <v/>
      </c>
      <c r="AD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46241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46241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46241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Hässleklocka</t>
        </is>
      </c>
      <c r="W9">
        <f>HYPERLINK("https://klasma.github.io/Logging_0509/artfynd/A 71034-2021 artfynd.xlsx", "A 71034-2021")</f>
        <v/>
      </c>
      <c r="X9">
        <f>HYPERLINK("https://klasma.github.io/Logging_0509/kartor/A 71034-2021 karta.png", "A 71034-2021")</f>
        <v/>
      </c>
      <c r="Y9">
        <f>HYPERLINK("https://klasma.github.io/Logging_0509/kartor_geotiff/A 71034-2021 georefererad karta.tif", "A 71034-2021")</f>
        <v/>
      </c>
      <c r="AA9">
        <f>HYPERLINK("https://klasma.github.io/Logging_0509/klagomål/A 71034-2021 FSC-klagomål.docx", "A 71034-2021")</f>
        <v/>
      </c>
      <c r="AB9">
        <f>HYPERLINK("https://klasma.github.io/Logging_0509/klagomålsmail/A 71034-2021 FSC-klagomål mail.docx", "A 71034-2021")</f>
        <v/>
      </c>
      <c r="AC9">
        <f>HYPERLINK("https://klasma.github.io/Logging_0509/tillsyn/A 71034-2021 tillsynsbegäran.docx", "A 71034-2021")</f>
        <v/>
      </c>
      <c r="AD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46241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Stubbspretmossa</t>
        </is>
      </c>
      <c r="W10">
        <f>HYPERLINK("https://klasma.github.io/Logging_0509/artfynd/A 71038-2021 artfynd.xlsx", "A 71038-2021")</f>
        <v/>
      </c>
      <c r="X10">
        <f>HYPERLINK("https://klasma.github.io/Logging_0509/kartor/A 71038-2021 karta.png", "A 71038-2021")</f>
        <v/>
      </c>
      <c r="Y10">
        <f>HYPERLINK("https://klasma.github.io/Logging_0509/kartor_geotiff/A 71038-2021 georefererad karta.tif", "A 71038-2021")</f>
        <v/>
      </c>
      <c r="AA10">
        <f>HYPERLINK("https://klasma.github.io/Logging_0509/klagomål/A 71038-2021 FSC-klagomål.docx", "A 71038-2021")</f>
        <v/>
      </c>
      <c r="AB10">
        <f>HYPERLINK("https://klasma.github.io/Logging_0509/klagomålsmail/A 71038-2021 FSC-klagomål mail.docx", "A 71038-2021")</f>
        <v/>
      </c>
      <c r="AC10">
        <f>HYPERLINK("https://klasma.github.io/Logging_0509/tillsyn/A 71038-2021 tillsynsbegäran.docx", "A 71038-2021")</f>
        <v/>
      </c>
      <c r="AD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46241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HYPERLINK("https://klasma.github.io/Logging_0509/artfynd/A 15437-2025 artfynd.xlsx", "A 15437-2025")</f>
        <v/>
      </c>
      <c r="X11">
        <f>HYPERLINK("https://klasma.github.io/Logging_0509/kartor/A 15437-2025 karta.png", "A 15437-2025")</f>
        <v/>
      </c>
      <c r="Y11">
        <f>HYPERLINK("https://klasma.github.io/Logging_0509/kartor_geotiff/A 15437-2025 georefererad karta.tif", "A 15437-2025")</f>
        <v/>
      </c>
      <c r="Z11">
        <f>HYPERLINK("https://klasma.github.io/Logging_0509/knärot/A 15437-2025 karta knärot.png", "A 15437-2025")</f>
        <v/>
      </c>
      <c r="AA11">
        <f>HYPERLINK("https://klasma.github.io/Logging_0509/klagomål/A 15437-2025 FSC-klagomål.docx", "A 15437-2025")</f>
        <v/>
      </c>
      <c r="AB11">
        <f>HYPERLINK("https://klasma.github.io/Logging_0509/klagomålsmail/A 15437-2025 FSC-klagomål mail.docx", "A 15437-2025")</f>
        <v/>
      </c>
      <c r="AC11">
        <f>HYPERLINK("https://klasma.github.io/Logging_0509/tillsyn/A 15437-2025 tillsynsbegäran.docx", "A 15437-2025")</f>
        <v/>
      </c>
      <c r="AD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46241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Ask</t>
        </is>
      </c>
      <c r="W12">
        <f>HYPERLINK("https://klasma.github.io/Logging_0509/artfynd/A 4772-2022 artfynd.xlsx", "A 4772-2022")</f>
        <v/>
      </c>
      <c r="X12">
        <f>HYPERLINK("https://klasma.github.io/Logging_0509/kartor/A 4772-2022 karta.png", "A 4772-2022")</f>
        <v/>
      </c>
      <c r="Y12">
        <f>HYPERLINK("https://klasma.github.io/Logging_0509/kartor_geotiff/A 4772-2022 georefererad karta.tif", "A 4772-2022")</f>
        <v/>
      </c>
      <c r="AA12">
        <f>HYPERLINK("https://klasma.github.io/Logging_0509/klagomål/A 4772-2022 FSC-klagomål.docx", "A 4772-2022")</f>
        <v/>
      </c>
      <c r="AB12">
        <f>HYPERLINK("https://klasma.github.io/Logging_0509/klagomålsmail/A 4772-2022 FSC-klagomål mail.docx", "A 4772-2022")</f>
        <v/>
      </c>
      <c r="AC12">
        <f>HYPERLINK("https://klasma.github.io/Logging_0509/tillsyn/A 4772-2022 tillsynsbegäran.docx", "A 4772-2022")</f>
        <v/>
      </c>
      <c r="AD12">
        <f>HYPERLINK("https://klasma.github.io/Logging_0509/tillsynsmail/A 4772-2022 tillsynsbegäran mail.docx", "A 4772-2022")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46241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46241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46241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46241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46241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46241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46241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32776-2025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45839</v>
      </c>
      <c r="E20" s="1" t="n">
        <v>46241</v>
      </c>
      <c r="F20" t="inlineStr">
        <is>
          <t>ÖSTERGÖTLANDS LÄN</t>
        </is>
      </c>
      <c r="G20" t="inlineStr">
        <is>
          <t>ÖDESHÖG</t>
        </is>
      </c>
      <c r="I20" t="n">
        <v>1.3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Smalsprötad bastardsvärmare</t>
        </is>
      </c>
      <c r="W20">
        <f>HYPERLINK("https://klasma.github.io/Logging_0509/artfynd/A 32776-2025 artfynd.xlsx", "A 32776-2025")</f>
        <v/>
      </c>
      <c r="X20">
        <f>HYPERLINK("https://klasma.github.io/Logging_0509/kartor/A 32776-2025 karta.png", "A 32776-2025")</f>
        <v/>
      </c>
      <c r="Y20">
        <f>HYPERLINK("https://klasma.github.io/Logging_0509/kartor_geotiff/A 32776-2025 georefererad karta.tif", "A 32776-2025")</f>
        <v/>
      </c>
      <c r="AA20">
        <f>HYPERLINK("https://klasma.github.io/Logging_0509/klagomål/A 32776-2025 FSC-klagomål.docx", "A 32776-2025")</f>
        <v/>
      </c>
      <c r="AB20">
        <f>HYPERLINK("https://klasma.github.io/Logging_0509/klagomålsmail/A 32776-2025 FSC-klagomål mail.docx", "A 32776-2025")</f>
        <v/>
      </c>
      <c r="AC20">
        <f>HYPERLINK("https://klasma.github.io/Logging_0509/tillsyn/A 32776-2025 tillsynsbegäran.docx", "A 32776-2025")</f>
        <v/>
      </c>
      <c r="AD20">
        <f>HYPERLINK("https://klasma.github.io/Logging_0509/tillsynsmail/A 32776-2025 tillsynsbegäran mail.docx", "A 32776-2025")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46241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46241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46241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46241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46241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46241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46241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46241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46241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46241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46241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46241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46241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46241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46241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46241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46241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46241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46241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46241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30389-2024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46241</v>
      </c>
      <c r="F41" t="inlineStr">
        <is>
          <t>ÖSTERGÖTLANDS LÄN</t>
        </is>
      </c>
      <c r="G41" t="inlineStr">
        <is>
          <t>ÖDESHÖG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44470</v>
      </c>
      <c r="E42" s="1" t="n">
        <v>46241</v>
      </c>
      <c r="F42" t="inlineStr">
        <is>
          <t>ÖSTERGÖTLANDS LÄN</t>
        </is>
      </c>
      <c r="G42" t="inlineStr">
        <is>
          <t>ÖDESHÖG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48325-2022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44858</v>
      </c>
      <c r="E43" s="1" t="n">
        <v>46241</v>
      </c>
      <c r="F43" t="inlineStr">
        <is>
          <t>ÖSTERGÖTLANDS LÄN</t>
        </is>
      </c>
      <c r="G43" t="inlineStr">
        <is>
          <t>ÖDESHÖG</t>
        </is>
      </c>
      <c r="H43" t="inlineStr">
        <is>
          <t>Allmännings- och besparingsskogar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64802-2021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44512</v>
      </c>
      <c r="E44" s="1" t="n">
        <v>46241</v>
      </c>
      <c r="F44" t="inlineStr">
        <is>
          <t>ÖSTERGÖTLANDS LÄN</t>
        </is>
      </c>
      <c r="G44" t="inlineStr">
        <is>
          <t>ÖDESHÖG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46241</v>
      </c>
      <c r="F45" t="inlineStr">
        <is>
          <t>ÖSTERGÖTLANDS LÄN</t>
        </is>
      </c>
      <c r="G45" t="inlineStr">
        <is>
          <t>ÖDESHÖG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46241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44936</v>
      </c>
      <c r="E47" s="1" t="n">
        <v>46241</v>
      </c>
      <c r="F47" t="inlineStr">
        <is>
          <t>ÖSTERGÖTLANDS LÄN</t>
        </is>
      </c>
      <c r="G47" t="inlineStr">
        <is>
          <t>ÖDESHÖG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45512</v>
      </c>
      <c r="E48" s="1" t="n">
        <v>46241</v>
      </c>
      <c r="F48" t="inlineStr">
        <is>
          <t>ÖSTERGÖTLANDS LÄN</t>
        </is>
      </c>
      <c r="G48" t="inlineStr">
        <is>
          <t>ÖDESHÖG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46241</v>
      </c>
      <c r="F49" t="inlineStr">
        <is>
          <t>ÖSTERGÖTLANDS LÄN</t>
        </is>
      </c>
      <c r="G49" t="inlineStr">
        <is>
          <t>ÖDESHÖG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45342</v>
      </c>
      <c r="E50" s="1" t="n">
        <v>46241</v>
      </c>
      <c r="F50" t="inlineStr">
        <is>
          <t>ÖSTERGÖTLANDS LÄN</t>
        </is>
      </c>
      <c r="G50" t="inlineStr">
        <is>
          <t>ÖDESHÖG</t>
        </is>
      </c>
      <c r="H50" t="inlineStr">
        <is>
          <t>Allmännings- och besparingsskogar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35661-2024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45532</v>
      </c>
      <c r="E51" s="1" t="n">
        <v>46241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56841-2022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46241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3149-2024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45316</v>
      </c>
      <c r="E53" s="1" t="n">
        <v>46241</v>
      </c>
      <c r="F53" t="inlineStr">
        <is>
          <t>ÖSTERGÖTLANDS LÄN</t>
        </is>
      </c>
      <c r="G53" t="inlineStr">
        <is>
          <t>ÖDESHÖG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45203</v>
      </c>
      <c r="E54" s="1" t="n">
        <v>46241</v>
      </c>
      <c r="F54" t="inlineStr">
        <is>
          <t>ÖSTERGÖTLANDS LÄN</t>
        </is>
      </c>
      <c r="G54" t="inlineStr">
        <is>
          <t>ÖDESHÖG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30388-2024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45491</v>
      </c>
      <c r="E55" s="1" t="n">
        <v>46241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45405</v>
      </c>
      <c r="E56" s="1" t="n">
        <v>46241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15915-2024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45405</v>
      </c>
      <c r="E57" s="1" t="n">
        <v>46241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46241</v>
      </c>
      <c r="F58" t="inlineStr">
        <is>
          <t>ÖSTERGÖTLANDS LÄN</t>
        </is>
      </c>
      <c r="G58" t="inlineStr">
        <is>
          <t>ÖDESHÖG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13129-2023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46241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46241</v>
      </c>
      <c r="F60" t="inlineStr">
        <is>
          <t>ÖSTERGÖTLANDS LÄN</t>
        </is>
      </c>
      <c r="G60" t="inlineStr">
        <is>
          <t>ÖDESHÖG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45014</v>
      </c>
      <c r="E61" s="1" t="n">
        <v>46241</v>
      </c>
      <c r="F61" t="inlineStr">
        <is>
          <t>ÖSTERGÖTLANDS LÄN</t>
        </is>
      </c>
      <c r="G61" t="inlineStr">
        <is>
          <t>ÖDESHÖG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45009</v>
      </c>
      <c r="E62" s="1" t="n">
        <v>46241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46241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8256-2023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44974</v>
      </c>
      <c r="E64" s="1" t="n">
        <v>46241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22088-2023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45069</v>
      </c>
      <c r="E65" s="1" t="n">
        <v>46241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16370-2026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46111</v>
      </c>
      <c r="E66" s="1" t="n">
        <v>46241</v>
      </c>
      <c r="F66" t="inlineStr">
        <is>
          <t>ÖSTERGÖTLANDS LÄN</t>
        </is>
      </c>
      <c r="G66" t="inlineStr">
        <is>
          <t>ÖDESHÖG</t>
        </is>
      </c>
      <c r="H66" t="inlineStr">
        <is>
          <t>Allmännings- och besparingsskogar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36099-2024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45533</v>
      </c>
      <c r="E67" s="1" t="n">
        <v>46241</v>
      </c>
      <c r="F67" t="inlineStr">
        <is>
          <t>ÖSTERGÖTLANDS LÄN</t>
        </is>
      </c>
      <c r="G67" t="inlineStr">
        <is>
          <t>ÖDESHÖG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14736-2024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45397</v>
      </c>
      <c r="E68" s="1" t="n">
        <v>46241</v>
      </c>
      <c r="F68" t="inlineStr">
        <is>
          <t>ÖSTERGÖTLANDS LÄN</t>
        </is>
      </c>
      <c r="G68" t="inlineStr">
        <is>
          <t>ÖDESHÖG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46241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14185-2023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45009</v>
      </c>
      <c r="E70" s="1" t="n">
        <v>46241</v>
      </c>
      <c r="F70" t="inlineStr">
        <is>
          <t>ÖSTERGÖTLANDS LÄN</t>
        </is>
      </c>
      <c r="G70" t="inlineStr">
        <is>
          <t>ÖDESHÖG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46241</v>
      </c>
      <c r="F71" t="inlineStr">
        <is>
          <t>ÖSTERGÖTLANDS LÄN</t>
        </is>
      </c>
      <c r="G71" t="inlineStr">
        <is>
          <t>ÖDESHÖG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46241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39024-2023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45163</v>
      </c>
      <c r="E73" s="1" t="n">
        <v>46241</v>
      </c>
      <c r="F73" t="inlineStr">
        <is>
          <t>ÖSTERGÖTLANDS LÄN</t>
        </is>
      </c>
      <c r="G73" t="inlineStr">
        <is>
          <t>ÖDESHÖG</t>
        </is>
      </c>
      <c r="H73" t="inlineStr">
        <is>
          <t>Allmännings- och besparingsskogar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44994</v>
      </c>
      <c r="E74" s="1" t="n">
        <v>46241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46241</v>
      </c>
      <c r="F75" t="inlineStr">
        <is>
          <t>ÖSTERGÖTLANDS LÄN</t>
        </is>
      </c>
      <c r="G75" t="inlineStr">
        <is>
          <t>ÖDESHÖG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46241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16259-2026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46109</v>
      </c>
      <c r="E77" s="1" t="n">
        <v>46241</v>
      </c>
      <c r="F77" t="inlineStr">
        <is>
          <t>ÖSTERGÖTLANDS LÄN</t>
        </is>
      </c>
      <c r="G77" t="inlineStr">
        <is>
          <t>ÖDESHÖG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16262-2026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46109</v>
      </c>
      <c r="E78" s="1" t="n">
        <v>46241</v>
      </c>
      <c r="F78" t="inlineStr">
        <is>
          <t>ÖSTERGÖTLANDS LÄN</t>
        </is>
      </c>
      <c r="G78" t="inlineStr">
        <is>
          <t>ÖDESHÖG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39032-2023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46241</v>
      </c>
      <c r="F79" t="inlineStr">
        <is>
          <t>ÖSTERGÖTLANDS LÄN</t>
        </is>
      </c>
      <c r="G79" t="inlineStr">
        <is>
          <t>ÖDESHÖG</t>
        </is>
      </c>
      <c r="H79" t="inlineStr">
        <is>
          <t>Allmännings- och besparingsskogar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45015</v>
      </c>
      <c r="E80" s="1" t="n">
        <v>46241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17950-2026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46122</v>
      </c>
      <c r="E81" s="1" t="n">
        <v>46241</v>
      </c>
      <c r="F81" t="inlineStr">
        <is>
          <t>ÖSTERGÖTLANDS LÄN</t>
        </is>
      </c>
      <c r="G81" t="inlineStr">
        <is>
          <t>ÖDESHÖG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45726</v>
      </c>
      <c r="E82" s="1" t="n">
        <v>46241</v>
      </c>
      <c r="F82" t="inlineStr">
        <is>
          <t>ÖSTERGÖTLANDS LÄN</t>
        </is>
      </c>
      <c r="G82" t="inlineStr">
        <is>
          <t>ÖDESHÖG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46059-2025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46241</v>
      </c>
      <c r="F83" t="inlineStr">
        <is>
          <t>ÖSTERGÖTLANDS LÄN</t>
        </is>
      </c>
      <c r="G83" t="inlineStr">
        <is>
          <t>ÖDESHÖG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46241</v>
      </c>
      <c r="F84" t="inlineStr">
        <is>
          <t>ÖSTERGÖTLANDS LÄN</t>
        </is>
      </c>
      <c r="G84" t="inlineStr">
        <is>
          <t>ÖDESHÖG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45707</v>
      </c>
      <c r="E85" s="1" t="n">
        <v>46241</v>
      </c>
      <c r="F85" t="inlineStr">
        <is>
          <t>ÖSTERGÖTLANDS LÄN</t>
        </is>
      </c>
      <c r="G85" t="inlineStr">
        <is>
          <t>ÖDESHÖG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46241</v>
      </c>
      <c r="F86" t="inlineStr">
        <is>
          <t>ÖSTERGÖTLANDS LÄN</t>
        </is>
      </c>
      <c r="G86" t="inlineStr">
        <is>
          <t>ÖDESHÖG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46241</v>
      </c>
      <c r="F87" t="inlineStr">
        <is>
          <t>ÖSTERGÖTLANDS LÄN</t>
        </is>
      </c>
      <c r="G87" t="inlineStr">
        <is>
          <t>ÖDESHÖG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46241</v>
      </c>
      <c r="F88" t="inlineStr">
        <is>
          <t>ÖSTERGÖTLANDS LÄN</t>
        </is>
      </c>
      <c r="G88" t="inlineStr">
        <is>
          <t>ÖDESHÖG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46241</v>
      </c>
      <c r="F89" t="inlineStr">
        <is>
          <t>ÖSTERGÖTLANDS LÄN</t>
        </is>
      </c>
      <c r="G89" t="inlineStr">
        <is>
          <t>ÖDESHÖG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8515-2022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44613</v>
      </c>
      <c r="E90" s="1" t="n">
        <v>46241</v>
      </c>
      <c r="F90" t="inlineStr">
        <is>
          <t>ÖSTERGÖTLANDS LÄN</t>
        </is>
      </c>
      <c r="G90" t="inlineStr">
        <is>
          <t>ÖDESHÖG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39027-2023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46241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45163</v>
      </c>
      <c r="E92" s="1" t="n">
        <v>46241</v>
      </c>
      <c r="F92" t="inlineStr">
        <is>
          <t>ÖSTERGÖTLANDS LÄN</t>
        </is>
      </c>
      <c r="G92" t="inlineStr">
        <is>
          <t>ÖDESHÖG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46241</v>
      </c>
      <c r="F93" t="inlineStr">
        <is>
          <t>ÖSTERGÖTLANDS LÄN</t>
        </is>
      </c>
      <c r="G93" t="inlineStr">
        <is>
          <t>ÖDESHÖG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45678</v>
      </c>
      <c r="E94" s="1" t="n">
        <v>46241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18.6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46241</v>
      </c>
      <c r="F95" t="inlineStr">
        <is>
          <t>ÖSTERGÖTLANDS LÄN</t>
        </is>
      </c>
      <c r="G95" t="inlineStr">
        <is>
          <t>ÖDESHÖG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45750</v>
      </c>
      <c r="E96" s="1" t="n">
        <v>46241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46241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46241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46241</v>
      </c>
      <c r="F99" t="inlineStr">
        <is>
          <t>ÖSTERGÖTLANDS LÄN</t>
        </is>
      </c>
      <c r="G99" t="inlineStr">
        <is>
          <t>ÖDESHÖG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46241</v>
      </c>
      <c r="F100" t="inlineStr">
        <is>
          <t>ÖSTERGÖTLANDS LÄN</t>
        </is>
      </c>
      <c r="G100" t="inlineStr">
        <is>
          <t>ÖDESHÖG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45027</v>
      </c>
      <c r="E101" s="1" t="n">
        <v>46241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45944</v>
      </c>
      <c r="E102" s="1" t="n">
        <v>46241</v>
      </c>
      <c r="F102" t="inlineStr">
        <is>
          <t>ÖSTERGÖTLANDS LÄN</t>
        </is>
      </c>
      <c r="G102" t="inlineStr">
        <is>
          <t>ÖDESHÖG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45944</v>
      </c>
      <c r="E103" s="1" t="n">
        <v>46241</v>
      </c>
      <c r="F103" t="inlineStr">
        <is>
          <t>ÖSTERGÖTLANDS LÄN</t>
        </is>
      </c>
      <c r="G103" t="inlineStr">
        <is>
          <t>ÖDESHÖG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51171-2025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45947</v>
      </c>
      <c r="E104" s="1" t="n">
        <v>46241</v>
      </c>
      <c r="F104" t="inlineStr">
        <is>
          <t>ÖSTERGÖTLANDS LÄN</t>
        </is>
      </c>
      <c r="G104" t="inlineStr">
        <is>
          <t>ÖDESHÖG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45950</v>
      </c>
      <c r="E105" s="1" t="n">
        <v>46241</v>
      </c>
      <c r="F105" t="inlineStr">
        <is>
          <t>ÖSTERGÖTLANDS LÄN</t>
        </is>
      </c>
      <c r="G105" t="inlineStr">
        <is>
          <t>ÖDESHÖG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46241</v>
      </c>
      <c r="F106" t="inlineStr">
        <is>
          <t>ÖSTERGÖTLANDS LÄN</t>
        </is>
      </c>
      <c r="G106" t="inlineStr">
        <is>
          <t>ÖDESHÖG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46241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8.699999999999999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45065</v>
      </c>
      <c r="E108" s="1" t="n">
        <v>46241</v>
      </c>
      <c r="F108" t="inlineStr">
        <is>
          <t>ÖSTERGÖTLANDS LÄN</t>
        </is>
      </c>
      <c r="G108" t="inlineStr">
        <is>
          <t>ÖDESHÖG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45049</v>
      </c>
      <c r="E109" s="1" t="n">
        <v>46241</v>
      </c>
      <c r="F109" t="inlineStr">
        <is>
          <t>ÖSTERGÖTLANDS LÄN</t>
        </is>
      </c>
      <c r="G109" t="inlineStr">
        <is>
          <t>ÖDESHÖG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46024</v>
      </c>
      <c r="E110" s="1" t="n">
        <v>46241</v>
      </c>
      <c r="F110" t="inlineStr">
        <is>
          <t>ÖSTERGÖTLANDS LÄN</t>
        </is>
      </c>
      <c r="G110" t="inlineStr">
        <is>
          <t>ÖDESHÖG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46241</v>
      </c>
      <c r="F111" t="inlineStr">
        <is>
          <t>ÖSTERGÖTLANDS LÄN</t>
        </is>
      </c>
      <c r="G111" t="inlineStr">
        <is>
          <t>ÖDESHÖG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46241</v>
      </c>
      <c r="F112" t="inlineStr">
        <is>
          <t>ÖSTERGÖTLANDS LÄN</t>
        </is>
      </c>
      <c r="G112" t="inlineStr">
        <is>
          <t>ÖDESHÖG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45692</v>
      </c>
      <c r="E113" s="1" t="n">
        <v>46241</v>
      </c>
      <c r="F113" t="inlineStr">
        <is>
          <t>ÖSTERGÖTLANDS LÄN</t>
        </is>
      </c>
      <c r="G113" t="inlineStr">
        <is>
          <t>ÖDESHÖG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46241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46241</v>
      </c>
      <c r="F115" t="inlineStr">
        <is>
          <t>ÖSTERGÖTLANDS LÄN</t>
        </is>
      </c>
      <c r="G115" t="inlineStr">
        <is>
          <t>ÖDESHÖG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46241</v>
      </c>
      <c r="F116" t="inlineStr">
        <is>
          <t>ÖSTERGÖTLANDS LÄN</t>
        </is>
      </c>
      <c r="G116" t="inlineStr">
        <is>
          <t>ÖDESHÖG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45065</v>
      </c>
      <c r="E117" s="1" t="n">
        <v>46241</v>
      </c>
      <c r="F117" t="inlineStr">
        <is>
          <t>ÖSTERGÖTLANDS LÄN</t>
        </is>
      </c>
      <c r="G117" t="inlineStr">
        <is>
          <t>ÖDESHÖG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46241</v>
      </c>
      <c r="F118" t="inlineStr">
        <is>
          <t>ÖSTERGÖTLANDS LÄN</t>
        </is>
      </c>
      <c r="G118" t="inlineStr">
        <is>
          <t>ÖDESHÖG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46241</v>
      </c>
      <c r="F119" t="inlineStr">
        <is>
          <t>ÖSTERGÖTLANDS LÄN</t>
        </is>
      </c>
      <c r="G119" t="inlineStr">
        <is>
          <t>ÖDESHÖG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45145</v>
      </c>
      <c r="E120" s="1" t="n">
        <v>46241</v>
      </c>
      <c r="F120" t="inlineStr">
        <is>
          <t>ÖSTERGÖTLANDS LÄN</t>
        </is>
      </c>
      <c r="G120" t="inlineStr">
        <is>
          <t>ÖDESHÖG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45335</v>
      </c>
      <c r="E121" s="1" t="n">
        <v>46241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44502</v>
      </c>
      <c r="E122" s="1" t="n">
        <v>46241</v>
      </c>
      <c r="F122" t="inlineStr">
        <is>
          <t>ÖSTERGÖTLANDS LÄN</t>
        </is>
      </c>
      <c r="G122" t="inlineStr">
        <is>
          <t>ÖDESHÖG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63115-2025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46241</v>
      </c>
      <c r="F123" t="inlineStr">
        <is>
          <t>ÖSTERGÖTLANDS LÄN</t>
        </is>
      </c>
      <c r="G123" t="inlineStr">
        <is>
          <t>ÖDESHÖG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45161</v>
      </c>
      <c r="E124" s="1" t="n">
        <v>46241</v>
      </c>
      <c r="F124" t="inlineStr">
        <is>
          <t>ÖSTERGÖTLANDS LÄN</t>
        </is>
      </c>
      <c r="G124" t="inlineStr">
        <is>
          <t>ÖDESHÖG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46241</v>
      </c>
      <c r="F125" t="inlineStr">
        <is>
          <t>ÖSTERGÖTLANDS LÄN</t>
        </is>
      </c>
      <c r="G125" t="inlineStr">
        <is>
          <t>ÖDESHÖG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46241</v>
      </c>
      <c r="F126" t="inlineStr">
        <is>
          <t>ÖSTERGÖTLANDS LÄN</t>
        </is>
      </c>
      <c r="G126" t="inlineStr">
        <is>
          <t>ÖDESHÖG</t>
        </is>
      </c>
      <c r="H126" t="inlineStr">
        <is>
          <t>Allmännings- och besparingsskogar</t>
        </is>
      </c>
      <c r="I126" t="n">
        <v>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46241</v>
      </c>
      <c r="F127" t="inlineStr">
        <is>
          <t>ÖSTERGÖTLANDS LÄN</t>
        </is>
      </c>
      <c r="G127" t="inlineStr">
        <is>
          <t>ÖDESHÖG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46241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46241</v>
      </c>
      <c r="F129" t="inlineStr">
        <is>
          <t>ÖSTERGÖTLANDS LÄN</t>
        </is>
      </c>
      <c r="G129" t="inlineStr">
        <is>
          <t>ÖDESHÖG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46241</v>
      </c>
      <c r="F130" t="inlineStr">
        <is>
          <t>ÖSTERGÖTLANDS LÄN</t>
        </is>
      </c>
      <c r="G130" t="inlineStr">
        <is>
          <t>ÖDESHÖG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45471</v>
      </c>
      <c r="E131" s="1" t="n">
        <v>46241</v>
      </c>
      <c r="F131" t="inlineStr">
        <is>
          <t>ÖSTERGÖTLANDS LÄN</t>
        </is>
      </c>
      <c r="G131" t="inlineStr">
        <is>
          <t>ÖDESHÖG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46241</v>
      </c>
      <c r="F132" t="inlineStr">
        <is>
          <t>ÖSTERGÖTLANDS LÄN</t>
        </is>
      </c>
      <c r="G132" t="inlineStr">
        <is>
          <t>ÖDESHÖG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46241</v>
      </c>
      <c r="F133" t="inlineStr">
        <is>
          <t>ÖSTERGÖTLANDS LÄN</t>
        </is>
      </c>
      <c r="G133" t="inlineStr">
        <is>
          <t>ÖDESHÖG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45553</v>
      </c>
      <c r="E134" s="1" t="n">
        <v>46241</v>
      </c>
      <c r="F134" t="inlineStr">
        <is>
          <t>ÖSTERGÖTLANDS LÄN</t>
        </is>
      </c>
      <c r="G134" t="inlineStr">
        <is>
          <t>ÖDESHÖG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46241</v>
      </c>
      <c r="F135" t="inlineStr">
        <is>
          <t>ÖSTERGÖTLANDS LÄN</t>
        </is>
      </c>
      <c r="G135" t="inlineStr">
        <is>
          <t>ÖDESHÖG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46241</v>
      </c>
      <c r="F136" t="inlineStr">
        <is>
          <t>ÖSTERGÖTLANDS LÄN</t>
        </is>
      </c>
      <c r="G136" t="inlineStr">
        <is>
          <t>ÖDESHÖG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46241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62801-2025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46008</v>
      </c>
      <c r="E138" s="1" t="n">
        <v>46241</v>
      </c>
      <c r="F138" t="inlineStr">
        <is>
          <t>ÖSTERGÖTLANDS LÄN</t>
        </is>
      </c>
      <c r="G138" t="inlineStr">
        <is>
          <t>ÖDESHÖG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46241</v>
      </c>
      <c r="F139" t="inlineStr">
        <is>
          <t>ÖSTERGÖTLANDS LÄN</t>
        </is>
      </c>
      <c r="G139" t="inlineStr">
        <is>
          <t>ÖDESHÖG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46007</v>
      </c>
      <c r="E140" s="1" t="n">
        <v>46241</v>
      </c>
      <c r="F140" t="inlineStr">
        <is>
          <t>ÖSTERGÖTLANDS LÄN</t>
        </is>
      </c>
      <c r="G140" t="inlineStr">
        <is>
          <t>ÖDESHÖG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46241</v>
      </c>
      <c r="F141" t="inlineStr">
        <is>
          <t>ÖSTERGÖTLANDS LÄN</t>
        </is>
      </c>
      <c r="G141" t="inlineStr">
        <is>
          <t>ÖDESHÖG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46199</v>
      </c>
      <c r="E142" s="1" t="n">
        <v>46241</v>
      </c>
      <c r="F142" t="inlineStr">
        <is>
          <t>ÖSTERGÖTLANDS LÄN</t>
        </is>
      </c>
      <c r="G142" t="inlineStr">
        <is>
          <t>ÖDESHÖG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45671</v>
      </c>
      <c r="E143" s="1" t="n">
        <v>46241</v>
      </c>
      <c r="F143" t="inlineStr">
        <is>
          <t>ÖSTERGÖTLANDS LÄN</t>
        </is>
      </c>
      <c r="G143" t="inlineStr">
        <is>
          <t>ÖDESHÖG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15909-2024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45405</v>
      </c>
      <c r="E144" s="1" t="n">
        <v>46241</v>
      </c>
      <c r="F144" t="inlineStr">
        <is>
          <t>ÖSTERGÖTLANDS LÄN</t>
        </is>
      </c>
      <c r="G144" t="inlineStr">
        <is>
          <t>ÖDESHÖG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46241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46241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15.4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46241</v>
      </c>
      <c r="F147" t="inlineStr">
        <is>
          <t>ÖSTERGÖTLANDS LÄN</t>
        </is>
      </c>
      <c r="G147" t="inlineStr">
        <is>
          <t>ÖDESHÖG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46029</v>
      </c>
      <c r="E148" s="1" t="n">
        <v>46241</v>
      </c>
      <c r="F148" t="inlineStr">
        <is>
          <t>ÖSTERGÖTLANDS LÄN</t>
        </is>
      </c>
      <c r="G148" t="inlineStr">
        <is>
          <t>ÖDESHÖG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46241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46241</v>
      </c>
      <c r="F150" t="inlineStr">
        <is>
          <t>ÖSTERGÖTLANDS LÄN</t>
        </is>
      </c>
      <c r="G150" t="inlineStr">
        <is>
          <t>ÖDESHÖG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46241</v>
      </c>
      <c r="F151" t="inlineStr">
        <is>
          <t>ÖSTERGÖTLANDS LÄN</t>
        </is>
      </c>
      <c r="G151" t="inlineStr">
        <is>
          <t>ÖDESHÖG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32378-2024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46241</v>
      </c>
      <c r="F152" t="inlineStr">
        <is>
          <t>ÖSTERGÖTLANDS LÄN</t>
        </is>
      </c>
      <c r="G152" t="inlineStr">
        <is>
          <t>ÖDESHÖG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46241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46241</v>
      </c>
      <c r="F154" t="inlineStr">
        <is>
          <t>ÖSTERGÖTLANDS LÄN</t>
        </is>
      </c>
      <c r="G154" t="inlineStr">
        <is>
          <t>ÖDESHÖG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46241</v>
      </c>
      <c r="F155" t="inlineStr">
        <is>
          <t>ÖSTERGÖTLANDS LÄN</t>
        </is>
      </c>
      <c r="G155" t="inlineStr">
        <is>
          <t>ÖDESHÖG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46241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61011-2024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45645</v>
      </c>
      <c r="E157" s="1" t="n">
        <v>46241</v>
      </c>
      <c r="F157" t="inlineStr">
        <is>
          <t>ÖSTERGÖTLANDS LÄN</t>
        </is>
      </c>
      <c r="G157" t="inlineStr">
        <is>
          <t>ÖDESHÖG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46241</v>
      </c>
      <c r="F158" t="inlineStr">
        <is>
          <t>ÖSTERGÖTLANDS LÄN</t>
        </is>
      </c>
      <c r="G158" t="inlineStr">
        <is>
          <t>ÖDESHÖG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45707</v>
      </c>
      <c r="E159" s="1" t="n">
        <v>46241</v>
      </c>
      <c r="F159" t="inlineStr">
        <is>
          <t>ÖSTERGÖTLANDS LÄN</t>
        </is>
      </c>
      <c r="G159" t="inlineStr">
        <is>
          <t>ÖDESHÖG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45603</v>
      </c>
      <c r="E160" s="1" t="n">
        <v>46241</v>
      </c>
      <c r="F160" t="inlineStr">
        <is>
          <t>ÖSTERGÖTLANDS LÄN</t>
        </is>
      </c>
      <c r="G160" t="inlineStr">
        <is>
          <t>ÖDESHÖG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46241</v>
      </c>
      <c r="F161" t="inlineStr">
        <is>
          <t>ÖSTERGÖTLANDS LÄN</t>
        </is>
      </c>
      <c r="G161" t="inlineStr">
        <is>
          <t>ÖDESHÖG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46241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Sveaskog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39190-2023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45166</v>
      </c>
      <c r="E163" s="1" t="n">
        <v>46241</v>
      </c>
      <c r="F163" t="inlineStr">
        <is>
          <t>ÖSTERGÖTLANDS LÄN</t>
        </is>
      </c>
      <c r="G163" t="inlineStr">
        <is>
          <t>ÖDESHÖG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16168-2023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45027</v>
      </c>
      <c r="E164" s="1" t="n">
        <v>46241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46241</v>
      </c>
      <c r="F165" t="inlineStr">
        <is>
          <t>ÖSTERGÖTLANDS LÄN</t>
        </is>
      </c>
      <c r="G165" t="inlineStr">
        <is>
          <t>ÖDESHÖG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46241</v>
      </c>
      <c r="F166" t="inlineStr">
        <is>
          <t>ÖSTERGÖTLANDS LÄN</t>
        </is>
      </c>
      <c r="G166" t="inlineStr">
        <is>
          <t>ÖDESHÖG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46241</v>
      </c>
      <c r="F167" t="inlineStr">
        <is>
          <t>ÖSTERGÖTLANDS LÄN</t>
        </is>
      </c>
      <c r="G167" t="inlineStr">
        <is>
          <t>ÖDESHÖG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45603</v>
      </c>
      <c r="E168" s="1" t="n">
        <v>46241</v>
      </c>
      <c r="F168" t="inlineStr">
        <is>
          <t>ÖSTERGÖTLANDS LÄN</t>
        </is>
      </c>
      <c r="G168" t="inlineStr">
        <is>
          <t>ÖDESHÖG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46062</v>
      </c>
      <c r="E169" s="1" t="n">
        <v>46241</v>
      </c>
      <c r="F169" t="inlineStr">
        <is>
          <t>ÖSTERGÖTLANDS LÄN</t>
        </is>
      </c>
      <c r="G169" t="inlineStr">
        <is>
          <t>ÖDESHÖG</t>
        </is>
      </c>
      <c r="I169" t="n">
        <v>13.4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46241</v>
      </c>
      <c r="F170" t="inlineStr">
        <is>
          <t>ÖSTERGÖTLANDS LÄN</t>
        </is>
      </c>
      <c r="G170" t="inlineStr">
        <is>
          <t>ÖDESHÖG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46241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43263-2023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45183</v>
      </c>
      <c r="E172" s="1" t="n">
        <v>46241</v>
      </c>
      <c r="F172" t="inlineStr">
        <is>
          <t>ÖSTERGÖTLANDS LÄN</t>
        </is>
      </c>
      <c r="G172" t="inlineStr">
        <is>
          <t>ÖDESHÖG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44698</v>
      </c>
      <c r="E173" s="1" t="n">
        <v>46241</v>
      </c>
      <c r="F173" t="inlineStr">
        <is>
          <t>ÖSTERGÖTLANDS LÄN</t>
        </is>
      </c>
      <c r="G173" t="inlineStr">
        <is>
          <t>ÖDESHÖG</t>
        </is>
      </c>
      <c r="H173" t="inlineStr">
        <is>
          <t>Allmännings- och besparingsskogar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44700</v>
      </c>
      <c r="E174" s="1" t="n">
        <v>46241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46241</v>
      </c>
      <c r="F175" t="inlineStr">
        <is>
          <t>ÖSTERGÖTLANDS LÄN</t>
        </is>
      </c>
      <c r="G175" t="inlineStr">
        <is>
          <t>ÖDESHÖG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45225</v>
      </c>
      <c r="E176" s="1" t="n">
        <v>46241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46241</v>
      </c>
      <c r="F177" t="inlineStr">
        <is>
          <t>ÖSTERGÖTLANDS LÄN</t>
        </is>
      </c>
      <c r="G177" t="inlineStr">
        <is>
          <t>ÖDESHÖG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12859-2026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46092</v>
      </c>
      <c r="E178" s="1" t="n">
        <v>46241</v>
      </c>
      <c r="F178" t="inlineStr">
        <is>
          <t>ÖSTERGÖTLANDS LÄN</t>
        </is>
      </c>
      <c r="G178" t="inlineStr">
        <is>
          <t>ÖDESHÖG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46092</v>
      </c>
      <c r="E179" s="1" t="n">
        <v>46241</v>
      </c>
      <c r="F179" t="inlineStr">
        <is>
          <t>ÖSTERGÖTLANDS LÄN</t>
        </is>
      </c>
      <c r="G179" t="inlineStr">
        <is>
          <t>ÖDESHÖG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45748</v>
      </c>
      <c r="E180" s="1" t="n">
        <v>46241</v>
      </c>
      <c r="F180" t="inlineStr">
        <is>
          <t>ÖSTERGÖTLANDS LÄN</t>
        </is>
      </c>
      <c r="G180" t="inlineStr">
        <is>
          <t>ÖDESHÖG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46241</v>
      </c>
      <c r="F181" t="inlineStr">
        <is>
          <t>ÖSTERGÖTLANDS LÄN</t>
        </is>
      </c>
      <c r="G181" t="inlineStr">
        <is>
          <t>ÖDESHÖG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37843-2023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45160</v>
      </c>
      <c r="E182" s="1" t="n">
        <v>46241</v>
      </c>
      <c r="F182" t="inlineStr">
        <is>
          <t>ÖSTERGÖTLANDS LÄN</t>
        </is>
      </c>
      <c r="G182" t="inlineStr">
        <is>
          <t>ÖDESHÖG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46101</v>
      </c>
      <c r="E183" s="1" t="n">
        <v>46241</v>
      </c>
      <c r="F183" t="inlineStr">
        <is>
          <t>ÖSTERGÖTLANDS LÄN</t>
        </is>
      </c>
      <c r="G183" t="inlineStr">
        <is>
          <t>ÖDESHÖG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25895-2026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46241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46241</v>
      </c>
      <c r="F185" t="inlineStr">
        <is>
          <t>ÖSTERGÖTLANDS LÄN</t>
        </is>
      </c>
      <c r="G185" t="inlineStr">
        <is>
          <t>ÖDESHÖG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46241</v>
      </c>
      <c r="F186" t="inlineStr">
        <is>
          <t>ÖSTERGÖTLANDS LÄN</t>
        </is>
      </c>
      <c r="G186" t="inlineStr">
        <is>
          <t>ÖDESHÖG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16341-2026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46241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46241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46241</v>
      </c>
      <c r="F189" t="inlineStr">
        <is>
          <t>ÖSTERGÖTLANDS LÄN</t>
        </is>
      </c>
      <c r="G189" t="inlineStr">
        <is>
          <t>ÖDESHÖG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46241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44796</v>
      </c>
      <c r="E191" s="1" t="n">
        <v>46241</v>
      </c>
      <c r="F191" t="inlineStr">
        <is>
          <t>ÖSTERGÖTLANDS LÄN</t>
        </is>
      </c>
      <c r="G191" t="inlineStr">
        <is>
          <t>ÖDESHÖG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46241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46241</v>
      </c>
      <c r="F193" t="inlineStr">
        <is>
          <t>ÖSTERGÖTLANDS LÄN</t>
        </is>
      </c>
      <c r="G193" t="inlineStr">
        <is>
          <t>ÖDESHÖG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45048</v>
      </c>
      <c r="E194" s="1" t="n">
        <v>46241</v>
      </c>
      <c r="F194" t="inlineStr">
        <is>
          <t>ÖSTERGÖTLANDS LÄN</t>
        </is>
      </c>
      <c r="G194" t="inlineStr">
        <is>
          <t>ÖDESHÖG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46241</v>
      </c>
      <c r="F195" t="inlineStr">
        <is>
          <t>ÖSTERGÖTLANDS LÄN</t>
        </is>
      </c>
      <c r="G195" t="inlineStr">
        <is>
          <t>ÖDESHÖG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46241</v>
      </c>
      <c r="F196" t="inlineStr">
        <is>
          <t>ÖSTERGÖTLANDS LÄN</t>
        </is>
      </c>
      <c r="G196" t="inlineStr">
        <is>
          <t>ÖDESHÖG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46241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46241</v>
      </c>
      <c r="F198" t="inlineStr">
        <is>
          <t>ÖSTERGÖTLANDS LÄN</t>
        </is>
      </c>
      <c r="G198" t="inlineStr">
        <is>
          <t>ÖDESHÖG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44992</v>
      </c>
      <c r="E199" s="1" t="n">
        <v>46241</v>
      </c>
      <c r="F199" t="inlineStr">
        <is>
          <t>ÖSTERGÖTLANDS LÄN</t>
        </is>
      </c>
      <c r="G199" t="inlineStr">
        <is>
          <t>ÖDESHÖG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28704-2026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46241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26949-2023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46241</v>
      </c>
      <c r="F201" t="inlineStr">
        <is>
          <t>ÖSTERGÖTLANDS LÄN</t>
        </is>
      </c>
      <c r="G201" t="inlineStr">
        <is>
          <t>ÖDESHÖG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46241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45699</v>
      </c>
      <c r="E203" s="1" t="n">
        <v>46241</v>
      </c>
      <c r="F203" t="inlineStr">
        <is>
          <t>ÖSTERGÖTLANDS LÄN</t>
        </is>
      </c>
      <c r="G203" t="inlineStr">
        <is>
          <t>ÖDESHÖG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44999</v>
      </c>
      <c r="E204" s="1" t="n">
        <v>46241</v>
      </c>
      <c r="F204" t="inlineStr">
        <is>
          <t>ÖSTERGÖTLANDS LÄN</t>
        </is>
      </c>
      <c r="G204" t="inlineStr">
        <is>
          <t>ÖDESHÖG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45149</v>
      </c>
      <c r="E205" s="1" t="n">
        <v>46241</v>
      </c>
      <c r="F205" t="inlineStr">
        <is>
          <t>ÖSTERGÖTLANDS LÄN</t>
        </is>
      </c>
      <c r="G205" t="inlineStr">
        <is>
          <t>ÖDESHÖG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44658</v>
      </c>
      <c r="E206" s="1" t="n">
        <v>46241</v>
      </c>
      <c r="F206" t="inlineStr">
        <is>
          <t>ÖSTERGÖTLANDS LÄN</t>
        </is>
      </c>
      <c r="G206" t="inlineStr">
        <is>
          <t>ÖDESHÖG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45699</v>
      </c>
      <c r="E207" s="1" t="n">
        <v>46241</v>
      </c>
      <c r="F207" t="inlineStr">
        <is>
          <t>ÖSTERGÖTLANDS LÄN</t>
        </is>
      </c>
      <c r="G207" t="inlineStr">
        <is>
          <t>ÖDESHÖG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21855-2022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44709</v>
      </c>
      <c r="E208" s="1" t="n">
        <v>46241</v>
      </c>
      <c r="F208" t="inlineStr">
        <is>
          <t>ÖSTERGÖTLANDS LÄN</t>
        </is>
      </c>
      <c r="G208" t="inlineStr">
        <is>
          <t>ÖDESHÖG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72603-2021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44546</v>
      </c>
      <c r="E209" s="1" t="n">
        <v>46241</v>
      </c>
      <c r="F209" t="inlineStr">
        <is>
          <t>ÖSTERGÖTLANDS LÄN</t>
        </is>
      </c>
      <c r="G209" t="inlineStr">
        <is>
          <t>ÖDESHÖG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44981</v>
      </c>
      <c r="E210" s="1" t="n">
        <v>46241</v>
      </c>
      <c r="F210" t="inlineStr">
        <is>
          <t>ÖSTERGÖTLANDS LÄN</t>
        </is>
      </c>
      <c r="G210" t="inlineStr">
        <is>
          <t>ÖDESHÖG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64709-2023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46241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64710-2023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46241</v>
      </c>
      <c r="F212" t="inlineStr">
        <is>
          <t>ÖSTERGÖTLANDS LÄN</t>
        </is>
      </c>
      <c r="G212" t="inlineStr">
        <is>
          <t>ÖDESHÖG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46241</v>
      </c>
      <c r="F213" t="inlineStr">
        <is>
          <t>ÖSTERGÖTLANDS LÄN</t>
        </is>
      </c>
      <c r="G213" t="inlineStr">
        <is>
          <t>ÖDESHÖG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35411-2023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45146</v>
      </c>
      <c r="E214" s="1" t="n">
        <v>46241</v>
      </c>
      <c r="F214" t="inlineStr">
        <is>
          <t>ÖSTERGÖTLANDS LÄN</t>
        </is>
      </c>
      <c r="G214" t="inlineStr">
        <is>
          <t>ÖDESHÖG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36730-2023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46241</v>
      </c>
      <c r="F215" t="inlineStr">
        <is>
          <t>ÖSTERGÖTLANDS LÄN</t>
        </is>
      </c>
      <c r="G215" t="inlineStr">
        <is>
          <t>ÖDESHÖG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45084</v>
      </c>
      <c r="E216" s="1" t="n">
        <v>46241</v>
      </c>
      <c r="F216" t="inlineStr">
        <is>
          <t>ÖSTERGÖTLANDS LÄN</t>
        </is>
      </c>
      <c r="G216" t="inlineStr">
        <is>
          <t>ÖDESHÖG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46241</v>
      </c>
      <c r="F217" t="inlineStr">
        <is>
          <t>ÖSTERGÖTLANDS LÄN</t>
        </is>
      </c>
      <c r="G217" t="inlineStr">
        <is>
          <t>ÖDESHÖG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46241</v>
      </c>
      <c r="F218" t="inlineStr">
        <is>
          <t>ÖSTERGÖTLANDS LÄN</t>
        </is>
      </c>
      <c r="G218" t="inlineStr">
        <is>
          <t>ÖDESHÖG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46241</v>
      </c>
      <c r="F219" t="inlineStr">
        <is>
          <t>ÖSTERGÖTLANDS LÄN</t>
        </is>
      </c>
      <c r="G219" t="inlineStr">
        <is>
          <t>ÖDESHÖG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44623</v>
      </c>
      <c r="E220" s="1" t="n">
        <v>46241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45519</v>
      </c>
      <c r="E221" s="1" t="n">
        <v>46241</v>
      </c>
      <c r="F221" t="inlineStr">
        <is>
          <t>ÖSTERGÖTLANDS LÄN</t>
        </is>
      </c>
      <c r="G221" t="inlineStr">
        <is>
          <t>ÖDESHÖG</t>
        </is>
      </c>
      <c r="H221" t="inlineStr">
        <is>
          <t>Allmännings- och besparingsskogar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46241</v>
      </c>
      <c r="F222" t="inlineStr">
        <is>
          <t>ÖSTERGÖTLANDS LÄN</t>
        </is>
      </c>
      <c r="G222" t="inlineStr">
        <is>
          <t>ÖDESHÖG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15813-2022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44664</v>
      </c>
      <c r="E223" s="1" t="n">
        <v>46241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45699</v>
      </c>
      <c r="E224" s="1" t="n">
        <v>46241</v>
      </c>
      <c r="F224" t="inlineStr">
        <is>
          <t>ÖSTERGÖTLANDS LÄN</t>
        </is>
      </c>
      <c r="G224" t="inlineStr">
        <is>
          <t>ÖDESHÖG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45188</v>
      </c>
      <c r="E225" s="1" t="n">
        <v>46241</v>
      </c>
      <c r="F225" t="inlineStr">
        <is>
          <t>ÖSTERGÖTLANDS LÄN</t>
        </is>
      </c>
      <c r="G225" t="inlineStr">
        <is>
          <t>ÖDESHÖG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45316</v>
      </c>
      <c r="E226" s="1" t="n">
        <v>46241</v>
      </c>
      <c r="F226" t="inlineStr">
        <is>
          <t>ÖSTERGÖTLANDS LÄN</t>
        </is>
      </c>
      <c r="G226" t="inlineStr">
        <is>
          <t>ÖDESHÖG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45407</v>
      </c>
      <c r="E227" s="1" t="n">
        <v>46241</v>
      </c>
      <c r="F227" t="inlineStr">
        <is>
          <t>ÖSTERGÖTLANDS LÄN</t>
        </is>
      </c>
      <c r="G227" t="inlineStr">
        <is>
          <t>ÖDESHÖG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51041-2024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46241</v>
      </c>
      <c r="F228" t="inlineStr">
        <is>
          <t>ÖSTERGÖTLANDS LÄN</t>
        </is>
      </c>
      <c r="G228" t="inlineStr">
        <is>
          <t>ÖDESHÖG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45699</v>
      </c>
      <c r="E229" s="1" t="n">
        <v>46241</v>
      </c>
      <c r="F229" t="inlineStr">
        <is>
          <t>ÖSTERGÖTLANDS LÄN</t>
        </is>
      </c>
      <c r="G229" t="inlineStr">
        <is>
          <t>ÖDESHÖG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45747</v>
      </c>
      <c r="E230" s="1" t="n">
        <v>46241</v>
      </c>
      <c r="F230" t="inlineStr">
        <is>
          <t>ÖSTERGÖTLANDS LÄN</t>
        </is>
      </c>
      <c r="G230" t="inlineStr">
        <is>
          <t>ÖDESHÖG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45600</v>
      </c>
      <c r="E231" s="1" t="n">
        <v>46241</v>
      </c>
      <c r="F231" t="inlineStr">
        <is>
          <t>ÖSTERGÖTLANDS LÄN</t>
        </is>
      </c>
      <c r="G231" t="inlineStr">
        <is>
          <t>ÖDESHÖG</t>
        </is>
      </c>
      <c r="I231" t="n">
        <v>8.5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45516</v>
      </c>
      <c r="E232" s="1" t="n">
        <v>46241</v>
      </c>
      <c r="F232" t="inlineStr">
        <is>
          <t>ÖSTERGÖTLANDS LÄN</t>
        </is>
      </c>
      <c r="G232" t="inlineStr">
        <is>
          <t>ÖDESHÖG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45161</v>
      </c>
      <c r="E233" s="1" t="n">
        <v>46241</v>
      </c>
      <c r="F233" t="inlineStr">
        <is>
          <t>ÖSTERGÖTLANDS LÄN</t>
        </is>
      </c>
      <c r="G233" t="inlineStr">
        <is>
          <t>ÖDESHÖG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46241</v>
      </c>
      <c r="F234" t="inlineStr">
        <is>
          <t>ÖSTERGÖTLANDS LÄN</t>
        </is>
      </c>
      <c r="G234" t="inlineStr">
        <is>
          <t>ÖDESHÖG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46241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46241</v>
      </c>
      <c r="F236" t="inlineStr">
        <is>
          <t>ÖSTERGÖTLANDS LÄN</t>
        </is>
      </c>
      <c r="G236" t="inlineStr">
        <is>
          <t>ÖDESHÖG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45217</v>
      </c>
      <c r="E237" s="1" t="n">
        <v>46241</v>
      </c>
      <c r="F237" t="inlineStr">
        <is>
          <t>ÖSTERGÖTLANDS LÄN</t>
        </is>
      </c>
      <c r="G237" t="inlineStr">
        <is>
          <t>ÖDESHÖG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46241</v>
      </c>
      <c r="F238" t="inlineStr">
        <is>
          <t>ÖSTERGÖTLANDS LÄN</t>
        </is>
      </c>
      <c r="G238" t="inlineStr">
        <is>
          <t>ÖDESHÖG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46241</v>
      </c>
      <c r="F239" t="inlineStr">
        <is>
          <t>ÖSTERGÖTLANDS LÄN</t>
        </is>
      </c>
      <c r="G239" t="inlineStr">
        <is>
          <t>ÖDESHÖG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46241</v>
      </c>
      <c r="F240" t="inlineStr">
        <is>
          <t>ÖSTERGÖTLANDS LÄN</t>
        </is>
      </c>
      <c r="G240" t="inlineStr">
        <is>
          <t>ÖDESHÖG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46241</v>
      </c>
      <c r="F241" t="inlineStr">
        <is>
          <t>ÖSTERGÖTLANDS LÄN</t>
        </is>
      </c>
      <c r="G241" t="inlineStr">
        <is>
          <t>ÖDESHÖG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899-2024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45376</v>
      </c>
      <c r="E242" s="1" t="n">
        <v>46241</v>
      </c>
      <c r="F242" t="inlineStr">
        <is>
          <t>ÖSTERGÖTLANDS LÄN</t>
        </is>
      </c>
      <c r="G242" t="inlineStr">
        <is>
          <t>ÖDESHÖG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6457-2022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44879</v>
      </c>
      <c r="E243" s="1" t="n">
        <v>46241</v>
      </c>
      <c r="F243" t="inlineStr">
        <is>
          <t>ÖSTERGÖTLANDS LÄN</t>
        </is>
      </c>
      <c r="G243" t="inlineStr">
        <is>
          <t>ÖDESHÖG</t>
        </is>
      </c>
      <c r="H243" t="inlineStr">
        <is>
          <t>Allmännings- och besparingsskogar</t>
        </is>
      </c>
      <c r="I243" t="n">
        <v>101.8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2026-08-07T01:53:57Z</dcterms:created>
  <dcterms:modified xmlns:dcterms="http://purl.org/dc/terms/" xmlns:xsi="http://www.w3.org/2001/XMLSchema-instance" xsi:type="dcterms:W3CDTF">2026-08-07T01:53:57Z</dcterms:modified>
</cp:coreProperties>
</file>