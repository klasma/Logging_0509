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HYPERLINK("https://klasma.github.io/Logging_0509/kartor_geotiff/S 1701-2025 georefererad karta.tif", "S 1701-2025")</f>
        <v/>
      </c>
      <c r="Y2">
        <f>HYPERLINK("https://klasma.github.io/Logging_0509/knärot/S 1701-2025 karta knärot.png", "S 1701-2025")</f>
        <v/>
      </c>
      <c r="Z2">
        <f>HYPERLINK("https://klasma.github.io/Logging_0509/klagomål/S 1701-2025 FSC-klagomål.docx", "S 1701-2025")</f>
        <v/>
      </c>
      <c r="AA2">
        <f>HYPERLINK("https://klasma.github.io/Logging_0509/klagomålsmail/S 1701-2025 FSC-klagomål mail.docx", "S 1701-2025")</f>
        <v/>
      </c>
      <c r="AB2">
        <f>HYPERLINK("https://klasma.github.io/Logging_0509/tillsyn/S 1701-2025 tillsynsbegäran.docx", "S 1701-2025")</f>
        <v/>
      </c>
      <c r="AC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X3">
        <f>HYPERLINK("https://klasma.github.io/Logging_0509/kartor_geotiff/A 11099-2025 georefererad karta.tif", "A 11099-2025")</f>
        <v/>
      </c>
      <c r="Z3">
        <f>HYPERLINK("https://klasma.github.io/Logging_0509/klagomål/A 11099-2025 FSC-klagomål.docx", "A 11099-2025")</f>
        <v/>
      </c>
      <c r="AA3">
        <f>HYPERLINK("https://klasma.github.io/Logging_0509/klagomålsmail/A 11099-2025 FSC-klagomål mail.docx", "A 11099-2025")</f>
        <v/>
      </c>
      <c r="AB3">
        <f>HYPERLINK("https://klasma.github.io/Logging_0509/tillsyn/A 11099-2025 tillsynsbegäran.docx", "A 11099-2025")</f>
        <v/>
      </c>
      <c r="AC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HYPERLINK("https://klasma.github.io/Logging_0509/kartor_geotiff/A 20262-2022 georefererad karta.tif", "A 20262-2022")</f>
        <v/>
      </c>
      <c r="Y4">
        <f>HYPERLINK("https://klasma.github.io/Logging_0509/knärot/A 20262-2022 karta knärot.png", "A 20262-2022")</f>
        <v/>
      </c>
      <c r="Z4">
        <f>HYPERLINK("https://klasma.github.io/Logging_0509/klagomål/A 20262-2022 FSC-klagomål.docx", "A 20262-2022")</f>
        <v/>
      </c>
      <c r="AA4">
        <f>HYPERLINK("https://klasma.github.io/Logging_0509/klagomålsmail/A 20262-2022 FSC-klagomål mail.docx", "A 20262-2022")</f>
        <v/>
      </c>
      <c r="AB4">
        <f>HYPERLINK("https://klasma.github.io/Logging_0509/tillsyn/A 20262-2022 tillsynsbegäran.docx", "A 20262-2022")</f>
        <v/>
      </c>
      <c r="AC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46223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HYPERLINK("https://klasma.github.io/Logging_0509/kartor_geotiff/A 40493-2021 georefererad karta.tif", "A 40493-2021")</f>
        <v/>
      </c>
      <c r="Y5">
        <f>HYPERLINK("https://klasma.github.io/Logging_0509/knärot/A 40493-2021 karta knärot.png", "A 40493-2021")</f>
        <v/>
      </c>
      <c r="Z5">
        <f>HYPERLINK("https://klasma.github.io/Logging_0509/klagomål/A 40493-2021 FSC-klagomål.docx", "A 40493-2021")</f>
        <v/>
      </c>
      <c r="AA5">
        <f>HYPERLINK("https://klasma.github.io/Logging_0509/klagomålsmail/A 40493-2021 FSC-klagomål mail.docx", "A 40493-2021")</f>
        <v/>
      </c>
      <c r="AB5">
        <f>HYPERLINK("https://klasma.github.io/Logging_0509/tillsyn/A 40493-2021 tillsynsbegäran.docx", "A 40493-2021")</f>
        <v/>
      </c>
      <c r="AC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46223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X6">
        <f>HYPERLINK("https://klasma.github.io/Logging_0509/kartor_geotiff/A 15823-2022 georefererad karta.tif", "A 15823-2022")</f>
        <v/>
      </c>
      <c r="Z6">
        <f>HYPERLINK("https://klasma.github.io/Logging_0509/klagomål/A 15823-2022 FSC-klagomål.docx", "A 15823-2022")</f>
        <v/>
      </c>
      <c r="AA6">
        <f>HYPERLINK("https://klasma.github.io/Logging_0509/klagomålsmail/A 15823-2022 FSC-klagomål mail.docx", "A 15823-2022")</f>
        <v/>
      </c>
      <c r="AB6">
        <f>HYPERLINK("https://klasma.github.io/Logging_0509/tillsyn/A 15823-2022 tillsynsbegäran.docx", "A 15823-2022")</f>
        <v/>
      </c>
      <c r="AC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46223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Axveronika
Bivråk</t>
        </is>
      </c>
      <c r="V7">
        <f>HYPERLINK("https://klasma.github.io/Logging_0509/artfynd/A 35443-2022 artfynd.xlsx", "A 35443-2022")</f>
        <v/>
      </c>
      <c r="W7">
        <f>HYPERLINK("https://klasma.github.io/Logging_0509/kartor/A 35443-2022 karta.png", "A 35443-2022")</f>
        <v/>
      </c>
      <c r="X7">
        <f>HYPERLINK("https://klasma.github.io/Logging_0509/kartor_geotiff/A 35443-2022 georefererad karta.tif", "A 35443-2022")</f>
        <v/>
      </c>
      <c r="Z7">
        <f>HYPERLINK("https://klasma.github.io/Logging_0509/klagomål/A 35443-2022 FSC-klagomål.docx", "A 35443-2022")</f>
        <v/>
      </c>
      <c r="AA7">
        <f>HYPERLINK("https://klasma.github.io/Logging_0509/klagomålsmail/A 35443-2022 FSC-klagomål mail.docx", "A 35443-2022")</f>
        <v/>
      </c>
      <c r="AB7">
        <f>HYPERLINK("https://klasma.github.io/Logging_0509/tillsyn/A 35443-2022 tillsynsbegäran.docx", "A 35443-2022")</f>
        <v/>
      </c>
      <c r="AC7">
        <f>HYPERLINK("https://klasma.github.io/Logging_0509/tillsynsmail/A 35443-2022 tillsynsbegäran mail.docx", "A 35443-2022")</f>
        <v/>
      </c>
      <c r="AD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46223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Jungfrulin
Svinrot</t>
        </is>
      </c>
      <c r="V8">
        <f>HYPERLINK("https://klasma.github.io/Logging_0509/artfynd/A 56797-2023 artfynd.xlsx", "A 56797-2023")</f>
        <v/>
      </c>
      <c r="W8">
        <f>HYPERLINK("https://klasma.github.io/Logging_0509/kartor/A 56797-2023 karta.png", "A 56797-2023")</f>
        <v/>
      </c>
      <c r="X8">
        <f>HYPERLINK("https://klasma.github.io/Logging_0509/kartor_geotiff/A 56797-2023 georefererad karta.tif", "A 56797-2023")</f>
        <v/>
      </c>
      <c r="Z8">
        <f>HYPERLINK("https://klasma.github.io/Logging_0509/klagomål/A 56797-2023 FSC-klagomål.docx", "A 56797-2023")</f>
        <v/>
      </c>
      <c r="AA8">
        <f>HYPERLINK("https://klasma.github.io/Logging_0509/klagomålsmail/A 56797-2023 FSC-klagomål mail.docx", "A 56797-2023")</f>
        <v/>
      </c>
      <c r="AB8">
        <f>HYPERLINK("https://klasma.github.io/Logging_0509/tillsyn/A 56797-2023 tillsynsbegäran.docx", "A 56797-2023")</f>
        <v/>
      </c>
      <c r="AC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46223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X9">
        <f>HYPERLINK("https://klasma.github.io/Logging_0509/kartor_geotiff/A 71034-2021 georefererad karta.tif", "A 71034-2021")</f>
        <v/>
      </c>
      <c r="Z9">
        <f>HYPERLINK("https://klasma.github.io/Logging_0509/klagomål/A 71034-2021 FSC-klagomål.docx", "A 71034-2021")</f>
        <v/>
      </c>
      <c r="AA9">
        <f>HYPERLINK("https://klasma.github.io/Logging_0509/klagomålsmail/A 71034-2021 FSC-klagomål mail.docx", "A 71034-2021")</f>
        <v/>
      </c>
      <c r="AB9">
        <f>HYPERLINK("https://klasma.github.io/Logging_0509/tillsyn/A 71034-2021 tillsynsbegäran.docx", "A 71034-2021")</f>
        <v/>
      </c>
      <c r="AC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46223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X10">
        <f>HYPERLINK("https://klasma.github.io/Logging_0509/kartor_geotiff/A 71038-2021 georefererad karta.tif", "A 71038-2021")</f>
        <v/>
      </c>
      <c r="Z10">
        <f>HYPERLINK("https://klasma.github.io/Logging_0509/klagomål/A 71038-2021 FSC-klagomål.docx", "A 71038-2021")</f>
        <v/>
      </c>
      <c r="AA10">
        <f>HYPERLINK("https://klasma.github.io/Logging_0509/klagomålsmail/A 71038-2021 FSC-klagomål mail.docx", "A 71038-2021")</f>
        <v/>
      </c>
      <c r="AB10">
        <f>HYPERLINK("https://klasma.github.io/Logging_0509/tillsyn/A 71038-2021 tillsynsbegäran.docx", "A 71038-2021")</f>
        <v/>
      </c>
      <c r="AC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46223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HYPERLINK("https://klasma.github.io/Logging_0509/artfynd/A 15437-2025 artfynd.xlsx", "A 15437-2025")</f>
        <v/>
      </c>
      <c r="W11">
        <f>HYPERLINK("https://klasma.github.io/Logging_0509/kartor/A 15437-2025 karta.png", "A 15437-2025")</f>
        <v/>
      </c>
      <c r="X11">
        <f>HYPERLINK("https://klasma.github.io/Logging_0509/kartor_geotiff/A 15437-2025 georefererad karta.tif", "A 15437-2025")</f>
        <v/>
      </c>
      <c r="Y11">
        <f>HYPERLINK("https://klasma.github.io/Logging_0509/knärot/A 15437-2025 karta knärot.png", "A 15437-2025")</f>
        <v/>
      </c>
      <c r="Z11">
        <f>HYPERLINK("https://klasma.github.io/Logging_0509/klagomål/A 15437-2025 FSC-klagomål.docx", "A 15437-2025")</f>
        <v/>
      </c>
      <c r="AA11">
        <f>HYPERLINK("https://klasma.github.io/Logging_0509/klagomålsmail/A 15437-2025 FSC-klagomål mail.docx", "A 15437-2025")</f>
        <v/>
      </c>
      <c r="AB11">
        <f>HYPERLINK("https://klasma.github.io/Logging_0509/tillsyn/A 15437-2025 tillsynsbegäran.docx", "A 15437-2025")</f>
        <v/>
      </c>
      <c r="AC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46223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HYPERLINK("https://klasma.github.io/Logging_0509/artfynd/A 4772-2022 artfynd.xlsx", "A 4772-2022")</f>
        <v/>
      </c>
      <c r="W12">
        <f>HYPERLINK("https://klasma.github.io/Logging_0509/kartor/A 4772-2022 karta.png", "A 4772-2022")</f>
        <v/>
      </c>
      <c r="X12">
        <f>HYPERLINK("https://klasma.github.io/Logging_0509/kartor_geotiff/A 4772-2022 georefererad karta.tif", "A 4772-2022")</f>
        <v/>
      </c>
      <c r="Z12">
        <f>HYPERLINK("https://klasma.github.io/Logging_0509/klagomål/A 4772-2022 FSC-klagomål.docx", "A 4772-2022")</f>
        <v/>
      </c>
      <c r="AA12">
        <f>HYPERLINK("https://klasma.github.io/Logging_0509/klagomålsmail/A 4772-2022 FSC-klagomål mail.docx", "A 4772-2022")</f>
        <v/>
      </c>
      <c r="AB12">
        <f>HYPERLINK("https://klasma.github.io/Logging_0509/tillsyn/A 4772-2022 tillsynsbegäran.docx", "A 4772-2022")</f>
        <v/>
      </c>
      <c r="AC12">
        <f>HYPERLINK("https://klasma.github.io/Logging_0509/tillsynsmail/A 4772-2022 tillsynsbegäran mail.docx", "A 4772-2022")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46223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Smalsprötad bastardsvärmare</t>
        </is>
      </c>
      <c r="V13">
        <f>HYPERLINK("https://klasma.github.io/Logging_0509/artfynd/A 32776-2025 artfynd.xlsx", "A 32776-2025")</f>
        <v/>
      </c>
      <c r="W13">
        <f>HYPERLINK("https://klasma.github.io/Logging_0509/kartor/A 32776-2025 karta.png", "A 32776-2025")</f>
        <v/>
      </c>
      <c r="X13">
        <f>HYPERLINK("https://klasma.github.io/Logging_0509/kartor_geotiff/A 32776-2025 georefererad karta.tif", "A 32776-2025")</f>
        <v/>
      </c>
      <c r="Z13">
        <f>HYPERLINK("https://klasma.github.io/Logging_0509/klagomål/A 32776-2025 FSC-klagomål.docx", "A 32776-2025")</f>
        <v/>
      </c>
      <c r="AA13">
        <f>HYPERLINK("https://klasma.github.io/Logging_0509/klagomålsmail/A 32776-2025 FSC-klagomål mail.docx", "A 32776-2025")</f>
        <v/>
      </c>
      <c r="AB13">
        <f>HYPERLINK("https://klasma.github.io/Logging_0509/tillsyn/A 32776-2025 tillsynsbegäran.docx", "A 32776-2025")</f>
        <v/>
      </c>
      <c r="AC13">
        <f>HYPERLINK("https://klasma.github.io/Logging_0509/tillsynsmail/A 32776-2025 tillsynsbegäran mail.docx", "A 32776-2025")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46223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Granbarkgnagare</t>
        </is>
      </c>
      <c r="V14">
        <f>HYPERLINK("https://klasma.github.io/Logging_0509/artfynd/A 58052-2021 artfynd.xlsx", "A 58052-2021")</f>
        <v/>
      </c>
      <c r="W14">
        <f>HYPERLINK("https://klasma.github.io/Logging_0509/kartor/A 58052-2021 karta.png", "A 58052-2021")</f>
        <v/>
      </c>
      <c r="X14">
        <f>HYPERLINK("https://klasma.github.io/Logging_0509/kartor_geotiff/A 58052-2021 georefererad karta.tif", "A 58052-2021")</f>
        <v/>
      </c>
      <c r="Z14">
        <f>HYPERLINK("https://klasma.github.io/Logging_0509/klagomål/A 58052-2021 FSC-klagomål.docx", "A 58052-2021")</f>
        <v/>
      </c>
      <c r="AA14">
        <f>HYPERLINK("https://klasma.github.io/Logging_0509/klagomålsmail/A 58052-2021 FSC-klagomål mail.docx", "A 58052-2021")</f>
        <v/>
      </c>
      <c r="AB14">
        <f>HYPERLINK("https://klasma.github.io/Logging_0509/tillsyn/A 58052-2021 tillsynsbegäran.docx", "A 58052-2021")</f>
        <v/>
      </c>
      <c r="AC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46223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HYPERLINK("https://klasma.github.io/Logging_0509/artfynd/A 58551-2023 artfynd.xlsx", "A 58551-2023")</f>
        <v/>
      </c>
      <c r="W15">
        <f>HYPERLINK("https://klasma.github.io/Logging_0509/kartor/A 58551-2023 karta.png", "A 58551-2023")</f>
        <v/>
      </c>
      <c r="X15">
        <f>HYPERLINK("https://klasma.github.io/Logging_0509/kartor_geotiff/A 58551-2023 georefererad karta.tif", "A 58551-2023")</f>
        <v/>
      </c>
      <c r="Z15">
        <f>HYPERLINK("https://klasma.github.io/Logging_0509/klagomål/A 58551-2023 FSC-klagomål.docx", "A 58551-2023")</f>
        <v/>
      </c>
      <c r="AA15">
        <f>HYPERLINK("https://klasma.github.io/Logging_0509/klagomålsmail/A 58551-2023 FSC-klagomål mail.docx", "A 58551-2023")</f>
        <v/>
      </c>
      <c r="AB15">
        <f>HYPERLINK("https://klasma.github.io/Logging_0509/tillsyn/A 58551-2023 tillsynsbegäran.docx", "A 58551-2023")</f>
        <v/>
      </c>
      <c r="AC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46223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62988-2023 artfynd.xlsx", "A 62988-2023")</f>
        <v/>
      </c>
      <c r="W16">
        <f>HYPERLINK("https://klasma.github.io/Logging_0509/kartor/A 62988-2023 karta.png", "A 62988-2023")</f>
        <v/>
      </c>
      <c r="X16">
        <f>HYPERLINK("https://klasma.github.io/Logging_0509/kartor_geotiff/A 62988-2023 georefererad karta.tif", "A 62988-2023")</f>
        <v/>
      </c>
      <c r="Z16">
        <f>HYPERLINK("https://klasma.github.io/Logging_0509/klagomål/A 62988-2023 FSC-klagomål.docx", "A 62988-2023")</f>
        <v/>
      </c>
      <c r="AA16">
        <f>HYPERLINK("https://klasma.github.io/Logging_0509/klagomålsmail/A 62988-2023 FSC-klagomål mail.docx", "A 62988-2023")</f>
        <v/>
      </c>
      <c r="AB16">
        <f>HYPERLINK("https://klasma.github.io/Logging_0509/tillsyn/A 62988-2023 tillsynsbegäran.docx", "A 62988-2023")</f>
        <v/>
      </c>
      <c r="AC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46223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HYPERLINK("https://klasma.github.io/Logging_0509/artfynd/A 56637-2023 artfynd.xlsx", "A 56637-2023")</f>
        <v/>
      </c>
      <c r="W17">
        <f>HYPERLINK("https://klasma.github.io/Logging_0509/kartor/A 56637-2023 karta.png", "A 56637-2023")</f>
        <v/>
      </c>
      <c r="X17">
        <f>HYPERLINK("https://klasma.github.io/Logging_0509/kartor_geotiff/A 56637-2023 georefererad karta.tif", "A 56637-2023")</f>
        <v/>
      </c>
      <c r="Z17">
        <f>HYPERLINK("https://klasma.github.io/Logging_0509/klagomål/A 56637-2023 FSC-klagomål.docx", "A 56637-2023")</f>
        <v/>
      </c>
      <c r="AA17">
        <f>HYPERLINK("https://klasma.github.io/Logging_0509/klagomålsmail/A 56637-2023 FSC-klagomål mail.docx", "A 56637-2023")</f>
        <v/>
      </c>
      <c r="AB17">
        <f>HYPERLINK("https://klasma.github.io/Logging_0509/tillsyn/A 56637-2023 tillsynsbegäran.docx", "A 56637-2023")</f>
        <v/>
      </c>
      <c r="AC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46223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Mörk dunört</t>
        </is>
      </c>
      <c r="V18">
        <f>HYPERLINK("https://klasma.github.io/Logging_0509/artfynd/A 50774-2023 artfynd.xlsx", "A 50774-2023")</f>
        <v/>
      </c>
      <c r="W18">
        <f>HYPERLINK("https://klasma.github.io/Logging_0509/kartor/A 50774-2023 karta.png", "A 50774-2023")</f>
        <v/>
      </c>
      <c r="X18">
        <f>HYPERLINK("https://klasma.github.io/Logging_0509/kartor_geotiff/A 50774-2023 georefererad karta.tif", "A 50774-2023")</f>
        <v/>
      </c>
      <c r="Z18">
        <f>HYPERLINK("https://klasma.github.io/Logging_0509/klagomål/A 50774-2023 FSC-klagomål.docx", "A 50774-2023")</f>
        <v/>
      </c>
      <c r="AA18">
        <f>HYPERLINK("https://klasma.github.io/Logging_0509/klagomålsmail/A 50774-2023 FSC-klagomål mail.docx", "A 50774-2023")</f>
        <v/>
      </c>
      <c r="AB18">
        <f>HYPERLINK("https://klasma.github.io/Logging_0509/tillsyn/A 50774-2023 tillsynsbegäran.docx", "A 50774-2023")</f>
        <v/>
      </c>
      <c r="AC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46223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Hässleklocka</t>
        </is>
      </c>
      <c r="V19">
        <f>HYPERLINK("https://klasma.github.io/Logging_0509/artfynd/A 38720-2023 artfynd.xlsx", "A 38720-2023")</f>
        <v/>
      </c>
      <c r="W19">
        <f>HYPERLINK("https://klasma.github.io/Logging_0509/kartor/A 38720-2023 karta.png", "A 38720-2023")</f>
        <v/>
      </c>
      <c r="X19">
        <f>HYPERLINK("https://klasma.github.io/Logging_0509/kartor_geotiff/A 38720-2023 georefererad karta.tif", "A 38720-2023")</f>
        <v/>
      </c>
      <c r="Z19">
        <f>HYPERLINK("https://klasma.github.io/Logging_0509/klagomål/A 38720-2023 FSC-klagomål.docx", "A 38720-2023")</f>
        <v/>
      </c>
      <c r="AA19">
        <f>HYPERLINK("https://klasma.github.io/Logging_0509/klagomålsmail/A 38720-2023 FSC-klagomål mail.docx", "A 38720-2023")</f>
        <v/>
      </c>
      <c r="AB19">
        <f>HYPERLINK("https://klasma.github.io/Logging_0509/tillsyn/A 38720-2023 tillsynsbegäran.docx", "A 38720-2023")</f>
        <v/>
      </c>
      <c r="AC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46223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Kristinspindling</t>
        </is>
      </c>
      <c r="V20">
        <f>HYPERLINK("https://klasma.github.io/Logging_0509/artfynd/A 32713-2024 artfynd.xlsx", "A 32713-2024")</f>
        <v/>
      </c>
      <c r="W20">
        <f>HYPERLINK("https://klasma.github.io/Logging_0509/kartor/A 32713-2024 karta.png", "A 32713-2024")</f>
        <v/>
      </c>
      <c r="X20">
        <f>HYPERLINK("https://klasma.github.io/Logging_0509/kartor_geotiff/A 32713-2024 georefererad karta.tif", "A 32713-2024")</f>
        <v/>
      </c>
      <c r="Z20">
        <f>HYPERLINK("https://klasma.github.io/Logging_0509/klagomål/A 32713-2024 FSC-klagomål.docx", "A 32713-2024")</f>
        <v/>
      </c>
      <c r="AA20">
        <f>HYPERLINK("https://klasma.github.io/Logging_0509/klagomålsmail/A 32713-2024 FSC-klagomål mail.docx", "A 32713-2024")</f>
        <v/>
      </c>
      <c r="AB20">
        <f>HYPERLINK("https://klasma.github.io/Logging_0509/tillsyn/A 32713-2024 tillsynsbegäran.docx", "A 32713-2024")</f>
        <v/>
      </c>
      <c r="AC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46223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46223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46223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46223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46223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46223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46223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46223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46223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46223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46223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46223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46223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46223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46223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46223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46223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46223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46223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46223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46223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46223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64802-2021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44512</v>
      </c>
      <c r="E43" s="1" t="n">
        <v>46223</v>
      </c>
      <c r="F43" t="inlineStr">
        <is>
          <t>ÖSTERGÖTLANDS LÄN</t>
        </is>
      </c>
      <c r="G43" t="inlineStr">
        <is>
          <t>ÖDESHÖG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48325-2022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44858</v>
      </c>
      <c r="E44" s="1" t="n">
        <v>46223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46223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46223</v>
      </c>
      <c r="F46" t="inlineStr">
        <is>
          <t>ÖSTERGÖTLANDS LÄN</t>
        </is>
      </c>
      <c r="G46" t="inlineStr">
        <is>
          <t>ÖDESHÖG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46223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45342</v>
      </c>
      <c r="E48" s="1" t="n">
        <v>46223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35661-2024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46223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46223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46223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46223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46223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46223</v>
      </c>
      <c r="F54" t="inlineStr">
        <is>
          <t>ÖSTERGÖTLANDS LÄN</t>
        </is>
      </c>
      <c r="G54" t="inlineStr">
        <is>
          <t>ÖDESHÖG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46223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46223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46223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46223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13129-2023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46223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46223</v>
      </c>
      <c r="F60" t="inlineStr">
        <is>
          <t>ÖSTERGÖTLANDS LÄN</t>
        </is>
      </c>
      <c r="G60" t="inlineStr">
        <is>
          <t>ÖDESHÖG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14750-2023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45014</v>
      </c>
      <c r="E61" s="1" t="n">
        <v>46223</v>
      </c>
      <c r="F61" t="inlineStr">
        <is>
          <t>ÖSTERGÖTLANDS LÄN</t>
        </is>
      </c>
      <c r="G61" t="inlineStr">
        <is>
          <t>ÖDESHÖG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14156-2023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46223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46223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46223</v>
      </c>
      <c r="F64" t="inlineStr">
        <is>
          <t>ÖSTERGÖTLANDS LÄN</t>
        </is>
      </c>
      <c r="G64" t="inlineStr">
        <is>
          <t>ÖDESHÖG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41730-2025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46223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8256-2023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44974</v>
      </c>
      <c r="E66" s="1" t="n">
        <v>46223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22088-2023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46223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36099-2024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46223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32476-2025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46223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46223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14736-2024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45397</v>
      </c>
      <c r="E71" s="1" t="n">
        <v>46223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20232-2022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46223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46223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46223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46059-2025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46223</v>
      </c>
      <c r="F75" t="inlineStr">
        <is>
          <t>ÖSTERGÖTLANDS LÄN</t>
        </is>
      </c>
      <c r="G75" t="inlineStr">
        <is>
          <t>ÖDESHÖG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14166-2023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45009</v>
      </c>
      <c r="E76" s="1" t="n">
        <v>46223</v>
      </c>
      <c r="F76" t="inlineStr">
        <is>
          <t>ÖSTERGÖTLANDS LÄN</t>
        </is>
      </c>
      <c r="G76" t="inlineStr">
        <is>
          <t>ÖDESHÖG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46223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46223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46223</v>
      </c>
      <c r="F79" t="inlineStr">
        <is>
          <t>ÖSTERGÖTLANDS LÄN</t>
        </is>
      </c>
      <c r="G79" t="inlineStr">
        <is>
          <t>ÖDESHÖG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46223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46223</v>
      </c>
      <c r="F81" t="inlineStr">
        <is>
          <t>ÖSTERGÖTLANDS LÄN</t>
        </is>
      </c>
      <c r="G81" t="inlineStr">
        <is>
          <t>ÖDESHÖG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46223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11972-2023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46223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48575-2025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46223</v>
      </c>
      <c r="F84" t="inlineStr">
        <is>
          <t>ÖSTERGÖTLANDS LÄN</t>
        </is>
      </c>
      <c r="G84" t="inlineStr">
        <is>
          <t>ÖDESHÖG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48611-2025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46223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46223</v>
      </c>
      <c r="F86" t="inlineStr">
        <is>
          <t>ÖSTERGÖTLANDS LÄN</t>
        </is>
      </c>
      <c r="G86" t="inlineStr">
        <is>
          <t>ÖDESHÖG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46223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50416-2025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46223</v>
      </c>
      <c r="F88" t="inlineStr">
        <is>
          <t>ÖSTERGÖTLANDS LÄN</t>
        </is>
      </c>
      <c r="G88" t="inlineStr">
        <is>
          <t>ÖDESHÖG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50358-2025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46223</v>
      </c>
      <c r="F89" t="inlineStr">
        <is>
          <t>ÖSTERGÖTLANDS LÄN</t>
        </is>
      </c>
      <c r="G89" t="inlineStr">
        <is>
          <t>ÖDESHÖG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46223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46223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46223</v>
      </c>
      <c r="F92" t="inlineStr">
        <is>
          <t>ÖSTERGÖTLANDS LÄN</t>
        </is>
      </c>
      <c r="G92" t="inlineStr">
        <is>
          <t>ÖDESHÖG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46223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39032-2023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46223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14993-2023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46223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8118-2026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46223</v>
      </c>
      <c r="F96" t="inlineStr">
        <is>
          <t>ÖSTERGÖTLANDS LÄN</t>
        </is>
      </c>
      <c r="G96" t="inlineStr">
        <is>
          <t>ÖDESHÖG</t>
        </is>
      </c>
      <c r="I96" t="n">
        <v>13.4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46223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8049-2025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46223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46223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46223</v>
      </c>
      <c r="F100" t="inlineStr">
        <is>
          <t>ÖSTERGÖTLANDS LÄN</t>
        </is>
      </c>
      <c r="G100" t="inlineStr">
        <is>
          <t>ÖDESHÖG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38723-2023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46223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46223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46223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46223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46223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46223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46223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16164-2023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45027</v>
      </c>
      <c r="E108" s="1" t="n">
        <v>46223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46223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46223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46223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45065</v>
      </c>
      <c r="E112" s="1" t="n">
        <v>46223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12859-2026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46223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12872-2026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46223</v>
      </c>
      <c r="F114" t="inlineStr">
        <is>
          <t>ÖSTERGÖTLANDS LÄN</t>
        </is>
      </c>
      <c r="G114" t="inlineStr">
        <is>
          <t>ÖDESHÖG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46223</v>
      </c>
      <c r="F115" t="inlineStr">
        <is>
          <t>ÖSTERGÖTLANDS LÄN</t>
        </is>
      </c>
      <c r="G115" t="inlineStr">
        <is>
          <t>ÖDESHÖG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46223</v>
      </c>
      <c r="F116" t="inlineStr">
        <is>
          <t>ÖSTERGÖTLANDS LÄN</t>
        </is>
      </c>
      <c r="G116" t="inlineStr">
        <is>
          <t>ÖDESHÖG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46223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46223</v>
      </c>
      <c r="F118" t="inlineStr">
        <is>
          <t>ÖSTERGÖTLANDS LÄN</t>
        </is>
      </c>
      <c r="G118" t="inlineStr">
        <is>
          <t>ÖDESHÖG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46223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46223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46223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46223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46223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61809-2025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46223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61808-2025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46223</v>
      </c>
      <c r="F125" t="inlineStr">
        <is>
          <t>ÖSTERGÖTLANDS LÄN</t>
        </is>
      </c>
      <c r="G125" t="inlineStr">
        <is>
          <t>ÖDESHÖG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46223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46223</v>
      </c>
      <c r="F127" t="inlineStr">
        <is>
          <t>ÖSTERGÖTLANDS LÄN</t>
        </is>
      </c>
      <c r="G127" t="inlineStr">
        <is>
          <t>ÖDESHÖG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46223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46223</v>
      </c>
      <c r="F129" t="inlineStr">
        <is>
          <t>ÖSTERGÖTLANDS LÄN</t>
        </is>
      </c>
      <c r="G129" t="inlineStr">
        <is>
          <t>ÖDESHÖG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46223</v>
      </c>
      <c r="F130" t="inlineStr">
        <is>
          <t>ÖSTERGÖTLANDS LÄN</t>
        </is>
      </c>
      <c r="G130" t="inlineStr">
        <is>
          <t>ÖDESHÖG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21771-2023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45065</v>
      </c>
      <c r="E131" s="1" t="n">
        <v>46223</v>
      </c>
      <c r="F131" t="inlineStr">
        <is>
          <t>ÖSTERGÖTLANDS LÄN</t>
        </is>
      </c>
      <c r="G131" t="inlineStr">
        <is>
          <t>ÖDESHÖG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46223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64010-2025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46223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46223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46223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46223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46223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46223</v>
      </c>
      <c r="F138" t="inlineStr">
        <is>
          <t>ÖSTERGÖTLANDS LÄN</t>
        </is>
      </c>
      <c r="G138" t="inlineStr">
        <is>
          <t>ÖDESHÖG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46223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46223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46223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46223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46223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46223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35229-2023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46223</v>
      </c>
      <c r="F145" t="inlineStr">
        <is>
          <t>ÖSTERGÖTLANDS LÄN</t>
        </is>
      </c>
      <c r="G145" t="inlineStr">
        <is>
          <t>ÖDESHÖG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16402-2026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46223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5819-2024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45335</v>
      </c>
      <c r="E147" s="1" t="n">
        <v>46223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46223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61880-2021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46223</v>
      </c>
      <c r="F149" t="inlineStr">
        <is>
          <t>ÖSTERGÖTLANDS LÄN</t>
        </is>
      </c>
      <c r="G149" t="inlineStr">
        <is>
          <t>ÖDESHÖG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16370-2026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46223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46223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27087-2024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46223</v>
      </c>
      <c r="F152" t="inlineStr">
        <is>
          <t>ÖSTERGÖTLANDS LÄN</t>
        </is>
      </c>
      <c r="G152" t="inlineStr">
        <is>
          <t>ÖDESHÖG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39920-2024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46223</v>
      </c>
      <c r="F153" t="inlineStr">
        <is>
          <t>ÖSTERGÖTLANDS LÄN</t>
        </is>
      </c>
      <c r="G153" t="inlineStr">
        <is>
          <t>ÖDESHÖG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46223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46223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46223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46223</v>
      </c>
      <c r="F157" t="inlineStr">
        <is>
          <t>ÖSTERGÖTLANDS LÄN</t>
        </is>
      </c>
      <c r="G157" t="inlineStr">
        <is>
          <t>ÖDESHÖG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16259-2026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46109</v>
      </c>
      <c r="E158" s="1" t="n">
        <v>46223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16262-2026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46223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15909-2024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45405</v>
      </c>
      <c r="E160" s="1" t="n">
        <v>46223</v>
      </c>
      <c r="F160" t="inlineStr">
        <is>
          <t>ÖSTERGÖTLANDS LÄN</t>
        </is>
      </c>
      <c r="G160" t="inlineStr">
        <is>
          <t>ÖDESHÖG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46223</v>
      </c>
      <c r="F161" t="inlineStr">
        <is>
          <t>ÖSTERGÖTLANDS LÄN</t>
        </is>
      </c>
      <c r="G161" t="inlineStr">
        <is>
          <t>ÖDESHÖG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46223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46223</v>
      </c>
      <c r="F163" t="inlineStr">
        <is>
          <t>ÖSTERGÖTLANDS LÄN</t>
        </is>
      </c>
      <c r="G163" t="inlineStr">
        <is>
          <t>ÖDESHÖG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39027-2023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46223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46223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39190-2023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45166</v>
      </c>
      <c r="E166" s="1" t="n">
        <v>46223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46223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38718-2023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46223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46223</v>
      </c>
      <c r="F169" t="inlineStr">
        <is>
          <t>ÖSTERGÖTLANDS LÄN</t>
        </is>
      </c>
      <c r="G169" t="inlineStr">
        <is>
          <t>ÖDESHÖG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25975-2026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46223</v>
      </c>
      <c r="F170" t="inlineStr">
        <is>
          <t>ÖSTERGÖTLANDS LÄN</t>
        </is>
      </c>
      <c r="G170" t="inlineStr">
        <is>
          <t>ÖDESHÖG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51178-2024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46223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46009</v>
      </c>
      <c r="E172" s="1" t="n">
        <v>46223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35380-2023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46223</v>
      </c>
      <c r="F173" t="inlineStr">
        <is>
          <t>ÖSTERGÖTLANDS LÄN</t>
        </is>
      </c>
      <c r="G173" t="inlineStr">
        <is>
          <t>ÖDESHÖG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46223</v>
      </c>
      <c r="F174" t="inlineStr">
        <is>
          <t>ÖSTERGÖTLANDS LÄN</t>
        </is>
      </c>
      <c r="G174" t="inlineStr">
        <is>
          <t>ÖDESHÖG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46223</v>
      </c>
      <c r="F175" t="inlineStr">
        <is>
          <t>ÖSTERGÖTLANDS LÄN</t>
        </is>
      </c>
      <c r="G175" t="inlineStr">
        <is>
          <t>ÖDESHÖG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46223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43263-2023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45183</v>
      </c>
      <c r="E177" s="1" t="n">
        <v>46223</v>
      </c>
      <c r="F177" t="inlineStr">
        <is>
          <t>ÖSTERGÖTLANDS LÄN</t>
        </is>
      </c>
      <c r="G177" t="inlineStr">
        <is>
          <t>ÖDESHÖG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46223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46223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46223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46223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46223</v>
      </c>
      <c r="F182" t="inlineStr">
        <is>
          <t>ÖSTERGÖTLANDS LÄN</t>
        </is>
      </c>
      <c r="G182" t="inlineStr">
        <is>
          <t>ÖDESHÖG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46223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46223</v>
      </c>
      <c r="F184" t="inlineStr">
        <is>
          <t>ÖSTERGÖTLANDS LÄN</t>
        </is>
      </c>
      <c r="G184" t="inlineStr">
        <is>
          <t>ÖDESHÖG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46223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46223</v>
      </c>
      <c r="F186" t="inlineStr">
        <is>
          <t>ÖSTERGÖTLANDS LÄN</t>
        </is>
      </c>
      <c r="G186" t="inlineStr">
        <is>
          <t>ÖDESHÖG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46223</v>
      </c>
      <c r="F187" t="inlineStr">
        <is>
          <t>ÖSTERGÖTLANDS LÄN</t>
        </is>
      </c>
      <c r="G187" t="inlineStr">
        <is>
          <t>ÖDESHÖG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46223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34961-2022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44796</v>
      </c>
      <c r="E189" s="1" t="n">
        <v>46223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19157-2023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46223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46223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17126-2024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46223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46223</v>
      </c>
      <c r="F193" t="inlineStr">
        <is>
          <t>ÖSTERGÖTLANDS LÄN</t>
        </is>
      </c>
      <c r="G193" t="inlineStr">
        <is>
          <t>ÖDESHÖG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46223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46223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11193-2023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44992</v>
      </c>
      <c r="E196" s="1" t="n">
        <v>46223</v>
      </c>
      <c r="F196" t="inlineStr">
        <is>
          <t>ÖSTERGÖTLANDS LÄN</t>
        </is>
      </c>
      <c r="G196" t="inlineStr">
        <is>
          <t>ÖDESHÖG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46223</v>
      </c>
      <c r="F197" t="inlineStr">
        <is>
          <t>ÖSTERGÖTLANDS LÄN</t>
        </is>
      </c>
      <c r="G197" t="inlineStr">
        <is>
          <t>ÖDESHÖG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26949-2023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46223</v>
      </c>
      <c r="F198" t="inlineStr">
        <is>
          <t>ÖSTERGÖTLANDS LÄN</t>
        </is>
      </c>
      <c r="G198" t="inlineStr">
        <is>
          <t>ÖDESHÖG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46223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46223</v>
      </c>
      <c r="F200" t="inlineStr">
        <is>
          <t>ÖSTERGÖTLANDS LÄN</t>
        </is>
      </c>
      <c r="G200" t="inlineStr">
        <is>
          <t>ÖDESHÖG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61011-2024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45645</v>
      </c>
      <c r="E201" s="1" t="n">
        <v>46223</v>
      </c>
      <c r="F201" t="inlineStr">
        <is>
          <t>ÖSTERGÖTLANDS LÄN</t>
        </is>
      </c>
      <c r="G201" t="inlineStr">
        <is>
          <t>ÖDESHÖG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36075-2023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46223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46223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46223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8067-2025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46223</v>
      </c>
      <c r="F205" t="inlineStr">
        <is>
          <t>ÖSTERGÖTLANDS LÄN</t>
        </is>
      </c>
      <c r="G205" t="inlineStr">
        <is>
          <t>ÖDESHÖG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46223</v>
      </c>
      <c r="F206" t="inlineStr">
        <is>
          <t>ÖSTERGÖTLANDS LÄN</t>
        </is>
      </c>
      <c r="G206" t="inlineStr">
        <is>
          <t>ÖDESHÖG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46223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72603-2021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44546</v>
      </c>
      <c r="E208" s="1" t="n">
        <v>46223</v>
      </c>
      <c r="F208" t="inlineStr">
        <is>
          <t>ÖSTERGÖTLANDS LÄN</t>
        </is>
      </c>
      <c r="G208" t="inlineStr">
        <is>
          <t>ÖDESHÖG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46223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46223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30155-2026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46223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Sveaskog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46223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46223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46223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46223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46223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46223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46223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46223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46223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46223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46223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46223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46223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46223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25895-2026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46223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46223</v>
      </c>
      <c r="F227" t="inlineStr">
        <is>
          <t>ÖSTERGÖTLANDS LÄN</t>
        </is>
      </c>
      <c r="G227" t="inlineStr">
        <is>
          <t>ÖDESHÖG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46223</v>
      </c>
      <c r="F228" t="inlineStr">
        <is>
          <t>ÖSTERGÖTLANDS LÄN</t>
        </is>
      </c>
      <c r="G228" t="inlineStr">
        <is>
          <t>ÖDESHÖG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46223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46223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46223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46223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46223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46223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46223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46223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46223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46223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46223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46223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46223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46223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46223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46223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46223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2026-07-20T01:50:08Z</dcterms:created>
  <dcterms:modified xmlns:dcterms="http://purl.org/dc/terms/" xmlns:xsi="http://www.w3.org/2001/XMLSchema-instance" xsi:type="dcterms:W3CDTF">2026-07-20T01:50:09Z</dcterms:modified>
</cp:coreProperties>
</file>