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46202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46202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46202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46202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46202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46202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46202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46202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46202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s="1" t="n">
        <v>45747</v>
      </c>
      <c r="C11" s="1" t="n">
        <v>46202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32713-2024</t>
        </is>
      </c>
      <c r="B12" s="1" t="n">
        <v>45516</v>
      </c>
      <c r="C12" s="1" t="n">
        <v>46202</v>
      </c>
      <c r="D12" t="inlineStr">
        <is>
          <t>ÖSTERGÖTLANDS LÄN</t>
        </is>
      </c>
      <c r="E12" t="inlineStr">
        <is>
          <t>ÖDESHÖG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Kristinspindling</t>
        </is>
      </c>
      <c r="S12">
        <f>HYPERLINK("https://klasma.github.io/Logging_0509/artfynd/A 32713-2024 artfynd.xlsx", "A 32713-2024")</f>
        <v/>
      </c>
      <c r="T12">
        <f>HYPERLINK("https://klasma.github.io/Logging_0509/kartor/A 32713-2024 karta.png", "A 32713-2024")</f>
        <v/>
      </c>
      <c r="V12">
        <f>HYPERLINK("https://klasma.github.io/Logging_0509/klagomål/A 32713-2024 FSC-klagomål.docx", "A 32713-2024")</f>
        <v/>
      </c>
      <c r="W12">
        <f>HYPERLINK("https://klasma.github.io/Logging_0509/klagomålsmail/A 32713-2024 FSC-klagomål mail.docx", "A 32713-2024")</f>
        <v/>
      </c>
      <c r="X12">
        <f>HYPERLINK("https://klasma.github.io/Logging_0509/tillsyn/A 32713-2024 tillsynsbegäran.docx", "A 32713-2024")</f>
        <v/>
      </c>
      <c r="Y12">
        <f>HYPERLINK("https://klasma.github.io/Logging_0509/tillsynsmail/A 32713-2024 tillsynsbegäran mail.docx", "A 32713-2024")</f>
        <v/>
      </c>
    </row>
    <row r="13" ht="15" customHeight="1">
      <c r="A13" t="inlineStr">
        <is>
          <t>A 58551-2023</t>
        </is>
      </c>
      <c r="B13" s="1" t="n">
        <v>45251</v>
      </c>
      <c r="C13" s="1" t="n">
        <v>46202</v>
      </c>
      <c r="D13" t="inlineStr">
        <is>
          <t>ÖSTERGÖTLANDS LÄN</t>
        </is>
      </c>
      <c r="E13" t="inlineStr">
        <is>
          <t>ÖDESHÖG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58551-2023 artfynd.xlsx", "A 58551-2023")</f>
        <v/>
      </c>
      <c r="T13">
        <f>HYPERLINK("https://klasma.github.io/Logging_0509/kartor/A 58551-2023 karta.png", "A 58551-2023")</f>
        <v/>
      </c>
      <c r="V13">
        <f>HYPERLINK("https://klasma.github.io/Logging_0509/klagomål/A 58551-2023 FSC-klagomål.docx", "A 58551-2023")</f>
        <v/>
      </c>
      <c r="W13">
        <f>HYPERLINK("https://klasma.github.io/Logging_0509/klagomålsmail/A 58551-2023 FSC-klagomål mail.docx", "A 58551-2023")</f>
        <v/>
      </c>
      <c r="X13">
        <f>HYPERLINK("https://klasma.github.io/Logging_0509/tillsyn/A 58551-2023 tillsynsbegäran.docx", "A 58551-2023")</f>
        <v/>
      </c>
      <c r="Y13">
        <f>HYPERLINK("https://klasma.github.io/Logging_0509/tillsynsmail/A 58551-2023 tillsynsbegäran mail.docx", "A 58551-2023")</f>
        <v/>
      </c>
    </row>
    <row r="14" ht="15" customHeight="1">
      <c r="A14" t="inlineStr">
        <is>
          <t>A 50774-2023</t>
        </is>
      </c>
      <c r="B14" s="1" t="n">
        <v>45210</v>
      </c>
      <c r="C14" s="1" t="n">
        <v>46202</v>
      </c>
      <c r="D14" t="inlineStr">
        <is>
          <t>ÖSTERGÖTLANDS LÄN</t>
        </is>
      </c>
      <c r="E14" t="inlineStr">
        <is>
          <t>ÖDESHÖG</t>
        </is>
      </c>
      <c r="G14" t="n">
        <v>9.5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HYPERLINK("https://klasma.github.io/Logging_0509/artfynd/A 50774-2023 artfynd.xlsx", "A 50774-2023")</f>
        <v/>
      </c>
      <c r="T14">
        <f>HYPERLINK("https://klasma.github.io/Logging_0509/kartor/A 50774-2023 karta.png", "A 50774-2023")</f>
        <v/>
      </c>
      <c r="V14">
        <f>HYPERLINK("https://klasma.github.io/Logging_0509/klagomål/A 50774-2023 FSC-klagomål.docx", "A 50774-2023")</f>
        <v/>
      </c>
      <c r="W14">
        <f>HYPERLINK("https://klasma.github.io/Logging_0509/klagomålsmail/A 50774-2023 FSC-klagomål mail.docx", "A 50774-2023")</f>
        <v/>
      </c>
      <c r="X14">
        <f>HYPERLINK("https://klasma.github.io/Logging_0509/tillsyn/A 50774-2023 tillsynsbegäran.docx", "A 50774-2023")</f>
        <v/>
      </c>
      <c r="Y14">
        <f>HYPERLINK("https://klasma.github.io/Logging_0509/tillsynsmail/A 50774-2023 tillsynsbegäran mail.docx", "A 50774-2023")</f>
        <v/>
      </c>
    </row>
    <row r="15" ht="15" customHeight="1">
      <c r="A15" t="inlineStr">
        <is>
          <t>A 62988-2023</t>
        </is>
      </c>
      <c r="B15" s="1" t="n">
        <v>45272</v>
      </c>
      <c r="C15" s="1" t="n">
        <v>46202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62988-2023 artfynd.xlsx", "A 62988-2023")</f>
        <v/>
      </c>
      <c r="T15">
        <f>HYPERLINK("https://klasma.github.io/Logging_0509/kartor/A 62988-2023 karta.png", "A 62988-2023")</f>
        <v/>
      </c>
      <c r="V15">
        <f>HYPERLINK("https://klasma.github.io/Logging_0509/klagomål/A 62988-2023 FSC-klagomål.docx", "A 62988-2023")</f>
        <v/>
      </c>
      <c r="W15">
        <f>HYPERLINK("https://klasma.github.io/Logging_0509/klagomålsmail/A 62988-2023 FSC-klagomål mail.docx", "A 62988-2023")</f>
        <v/>
      </c>
      <c r="X15">
        <f>HYPERLINK("https://klasma.github.io/Logging_0509/tillsyn/A 62988-2023 tillsynsbegäran.docx", "A 62988-2023")</f>
        <v/>
      </c>
      <c r="Y15">
        <f>HYPERLINK("https://klasma.github.io/Logging_0509/tillsynsmail/A 62988-2023 tillsynsbegäran mail.docx", "A 62988-2023")</f>
        <v/>
      </c>
    </row>
    <row r="16" ht="15" customHeight="1">
      <c r="A16" t="inlineStr">
        <is>
          <t>A 27958-2025</t>
        </is>
      </c>
      <c r="B16" s="1" t="n">
        <v>45817</v>
      </c>
      <c r="C16" s="1" t="n">
        <v>46202</v>
      </c>
      <c r="D16" t="inlineStr">
        <is>
          <t>ÖSTERGÖTLANDS LÄN</t>
        </is>
      </c>
      <c r="E16" t="inlineStr">
        <is>
          <t>ÖDESHÖG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Noshornsoxe</t>
        </is>
      </c>
      <c r="S16">
        <f>HYPERLINK("https://klasma.github.io/Logging_0509/artfynd/A 27958-2025 artfynd.xlsx", "A 27958-2025")</f>
        <v/>
      </c>
      <c r="T16">
        <f>HYPERLINK("https://klasma.github.io/Logging_0509/kartor/A 27958-2025 karta.png", "A 27958-2025")</f>
        <v/>
      </c>
      <c r="V16">
        <f>HYPERLINK("https://klasma.github.io/Logging_0509/klagomål/A 27958-2025 FSC-klagomål.docx", "A 27958-2025")</f>
        <v/>
      </c>
      <c r="W16">
        <f>HYPERLINK("https://klasma.github.io/Logging_0509/klagomålsmail/A 27958-2025 FSC-klagomål mail.docx", "A 27958-2025")</f>
        <v/>
      </c>
      <c r="X16">
        <f>HYPERLINK("https://klasma.github.io/Logging_0509/tillsyn/A 27958-2025 tillsynsbegäran.docx", "A 27958-2025")</f>
        <v/>
      </c>
      <c r="Y16">
        <f>HYPERLINK("https://klasma.github.io/Logging_0509/tillsynsmail/A 27958-2025 tillsynsbegäran mail.docx", "A 27958-2025")</f>
        <v/>
      </c>
    </row>
    <row r="17" ht="15" customHeight="1">
      <c r="A17" t="inlineStr">
        <is>
          <t>A 38720-2023</t>
        </is>
      </c>
      <c r="B17" s="1" t="n">
        <v>45163</v>
      </c>
      <c r="C17" s="1" t="n">
        <v>46202</v>
      </c>
      <c r="D17" t="inlineStr">
        <is>
          <t>ÖSTERGÖTLANDS LÄN</t>
        </is>
      </c>
      <c r="E17" t="inlineStr">
        <is>
          <t>ÖDESHÖG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Hässleklocka</t>
        </is>
      </c>
      <c r="S17">
        <f>HYPERLINK("https://klasma.github.io/Logging_0509/artfynd/A 38720-2023 artfynd.xlsx", "A 38720-2023")</f>
        <v/>
      </c>
      <c r="T17">
        <f>HYPERLINK("https://klasma.github.io/Logging_0509/kartor/A 38720-2023 karta.png", "A 38720-2023")</f>
        <v/>
      </c>
      <c r="V17">
        <f>HYPERLINK("https://klasma.github.io/Logging_0509/klagomål/A 38720-2023 FSC-klagomål.docx", "A 38720-2023")</f>
        <v/>
      </c>
      <c r="W17">
        <f>HYPERLINK("https://klasma.github.io/Logging_0509/klagomålsmail/A 38720-2023 FSC-klagomål mail.docx", "A 38720-2023")</f>
        <v/>
      </c>
      <c r="X17">
        <f>HYPERLINK("https://klasma.github.io/Logging_0509/tillsyn/A 38720-2023 tillsynsbegäran.docx", "A 38720-2023")</f>
        <v/>
      </c>
      <c r="Y17">
        <f>HYPERLINK("https://klasma.github.io/Logging_0509/tillsynsmail/A 38720-2023 tillsynsbegäran mail.docx", "A 38720-2023")</f>
        <v/>
      </c>
    </row>
    <row r="18" ht="15" customHeight="1">
      <c r="A18" t="inlineStr">
        <is>
          <t>A 32776-2025</t>
        </is>
      </c>
      <c r="B18" s="1" t="n">
        <v>45839</v>
      </c>
      <c r="C18" s="1" t="n">
        <v>46202</v>
      </c>
      <c r="D18" t="inlineStr">
        <is>
          <t>ÖSTERGÖTLANDS LÄN</t>
        </is>
      </c>
      <c r="E18" t="inlineStr">
        <is>
          <t>ÖDESHÖG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Smalsprötad bastardsvärmare</t>
        </is>
      </c>
      <c r="S18">
        <f>HYPERLINK("https://klasma.github.io/Logging_0509/artfynd/A 32776-2025 artfynd.xlsx", "A 32776-2025")</f>
        <v/>
      </c>
      <c r="T18">
        <f>HYPERLINK("https://klasma.github.io/Logging_0509/kartor/A 32776-2025 karta.png", "A 32776-2025")</f>
        <v/>
      </c>
      <c r="V18">
        <f>HYPERLINK("https://klasma.github.io/Logging_0509/klagomål/A 32776-2025 FSC-klagomål.docx", "A 32776-2025")</f>
        <v/>
      </c>
      <c r="W18">
        <f>HYPERLINK("https://klasma.github.io/Logging_0509/klagomålsmail/A 32776-2025 FSC-klagomål mail.docx", "A 32776-2025")</f>
        <v/>
      </c>
      <c r="X18">
        <f>HYPERLINK("https://klasma.github.io/Logging_0509/tillsyn/A 32776-2025 tillsynsbegäran.docx", "A 32776-2025")</f>
        <v/>
      </c>
      <c r="Y18">
        <f>HYPERLINK("https://klasma.github.io/Logging_0509/tillsynsmail/A 32776-2025 tillsynsbegäran mail.docx", "A 32776-2025")</f>
        <v/>
      </c>
    </row>
    <row r="19" ht="15" customHeight="1">
      <c r="A19" t="inlineStr">
        <is>
          <t>A 58052-2021</t>
        </is>
      </c>
      <c r="B19" s="1" t="n">
        <v>44487</v>
      </c>
      <c r="C19" s="1" t="n">
        <v>46202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Sveaskog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HYPERLINK("https://klasma.github.io/Logging_0509/artfynd/A 58052-2021 artfynd.xlsx", "A 58052-2021")</f>
        <v/>
      </c>
      <c r="T19">
        <f>HYPERLINK("https://klasma.github.io/Logging_0509/kartor/A 58052-2021 karta.png", "A 58052-2021")</f>
        <v/>
      </c>
      <c r="V19">
        <f>HYPERLINK("https://klasma.github.io/Logging_0509/klagomål/A 58052-2021 FSC-klagomål.docx", "A 58052-2021")</f>
        <v/>
      </c>
      <c r="W19">
        <f>HYPERLINK("https://klasma.github.io/Logging_0509/klagomålsmail/A 58052-2021 FSC-klagomål mail.docx", "A 58052-2021")</f>
        <v/>
      </c>
      <c r="X19">
        <f>HYPERLINK("https://klasma.github.io/Logging_0509/tillsyn/A 58052-2021 tillsynsbegäran.docx", "A 58052-2021")</f>
        <v/>
      </c>
      <c r="Y19">
        <f>HYPERLINK("https://klasma.github.io/Logging_0509/tillsynsmail/A 58052-2021 tillsynsbegäran mail.docx", "A 58052-2021")</f>
        <v/>
      </c>
    </row>
    <row r="20" ht="15" customHeight="1">
      <c r="A20" t="inlineStr">
        <is>
          <t>A 35443-2022</t>
        </is>
      </c>
      <c r="B20" s="1" t="n">
        <v>44798</v>
      </c>
      <c r="C20" s="1" t="n">
        <v>46202</v>
      </c>
      <c r="D20" t="inlineStr">
        <is>
          <t>ÖSTERGÖTLANDS LÄN</t>
        </is>
      </c>
      <c r="E20" t="inlineStr">
        <is>
          <t>ÖDESHÖG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HYPERLINK("https://klasma.github.io/Logging_0509/artfynd/A 35443-2022 artfynd.xlsx", "A 35443-2022")</f>
        <v/>
      </c>
      <c r="T20">
        <f>HYPERLINK("https://klasma.github.io/Logging_0509/kartor/A 35443-2022 karta.png", "A 35443-2022")</f>
        <v/>
      </c>
      <c r="V20">
        <f>HYPERLINK("https://klasma.github.io/Logging_0509/klagomål/A 35443-2022 FSC-klagomål.docx", "A 35443-2022")</f>
        <v/>
      </c>
      <c r="W20">
        <f>HYPERLINK("https://klasma.github.io/Logging_0509/klagomålsmail/A 35443-2022 FSC-klagomål mail.docx", "A 35443-2022")</f>
        <v/>
      </c>
      <c r="X20">
        <f>HYPERLINK("https://klasma.github.io/Logging_0509/tillsyn/A 35443-2022 tillsynsbegäran.docx", "A 35443-2022")</f>
        <v/>
      </c>
      <c r="Y20">
        <f>HYPERLINK("https://klasma.github.io/Logging_0509/tillsynsmail/A 35443-2022 tillsynsbegäran mail.docx", "A 35443-2022")</f>
        <v/>
      </c>
      <c r="Z20">
        <f>HYPERLINK("https://klasma.github.io/Logging_0509/fåglar/A 35443-2022 prioriterade fågelarter.docx", "A 35443-2022")</f>
        <v/>
      </c>
    </row>
    <row r="21" ht="15" customHeight="1">
      <c r="A21" t="inlineStr">
        <is>
          <t>A 56637-2023</t>
        </is>
      </c>
      <c r="B21" s="1" t="n">
        <v>45243</v>
      </c>
      <c r="C21" s="1" t="n">
        <v>46202</v>
      </c>
      <c r="D21" t="inlineStr">
        <is>
          <t>ÖSTERGÖTLANDS LÄN</t>
        </is>
      </c>
      <c r="E21" t="inlineStr">
        <is>
          <t>ÖDESHÖG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HYPERLINK("https://klasma.github.io/Logging_0509/artfynd/A 56637-2023 artfynd.xlsx", "A 56637-2023")</f>
        <v/>
      </c>
      <c r="T21">
        <f>HYPERLINK("https://klasma.github.io/Logging_0509/kartor/A 56637-2023 karta.png", "A 56637-2023")</f>
        <v/>
      </c>
      <c r="V21">
        <f>HYPERLINK("https://klasma.github.io/Logging_0509/klagomål/A 56637-2023 FSC-klagomål.docx", "A 56637-2023")</f>
        <v/>
      </c>
      <c r="W21">
        <f>HYPERLINK("https://klasma.github.io/Logging_0509/klagomålsmail/A 56637-2023 FSC-klagomål mail.docx", "A 56637-2023")</f>
        <v/>
      </c>
      <c r="X21">
        <f>HYPERLINK("https://klasma.github.io/Logging_0509/tillsyn/A 56637-2023 tillsynsbegäran.docx", "A 56637-2023")</f>
        <v/>
      </c>
      <c r="Y21">
        <f>HYPERLINK("https://klasma.github.io/Logging_0509/tillsynsmail/A 56637-2023 tillsynsbegäran mail.docx", "A 56637-2023")</f>
        <v/>
      </c>
    </row>
    <row r="22" ht="15" customHeight="1">
      <c r="A22" t="inlineStr">
        <is>
          <t>A 4772-2022</t>
        </is>
      </c>
      <c r="B22" s="1" t="n">
        <v>44592</v>
      </c>
      <c r="C22" s="1" t="n">
        <v>46202</v>
      </c>
      <c r="D22" t="inlineStr">
        <is>
          <t>ÖSTERGÖTLANDS LÄN</t>
        </is>
      </c>
      <c r="E22" t="inlineStr">
        <is>
          <t>ÖDESHÖG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HYPERLINK("https://klasma.github.io/Logging_0509/artfynd/A 4772-2022 artfynd.xlsx", "A 4772-2022")</f>
        <v/>
      </c>
      <c r="T22">
        <f>HYPERLINK("https://klasma.github.io/Logging_0509/kartor/A 4772-2022 karta.png", "A 4772-2022")</f>
        <v/>
      </c>
      <c r="V22">
        <f>HYPERLINK("https://klasma.github.io/Logging_0509/klagomål/A 4772-2022 FSC-klagomål.docx", "A 4772-2022")</f>
        <v/>
      </c>
      <c r="W22">
        <f>HYPERLINK("https://klasma.github.io/Logging_0509/klagomålsmail/A 4772-2022 FSC-klagomål mail.docx", "A 4772-2022")</f>
        <v/>
      </c>
      <c r="X22">
        <f>HYPERLINK("https://klasma.github.io/Logging_0509/tillsyn/A 4772-2022 tillsynsbegäran.docx", "A 4772-2022")</f>
        <v/>
      </c>
      <c r="Y22">
        <f>HYPERLINK("https://klasma.github.io/Logging_0509/tillsynsmail/A 4772-2022 tillsynsbegäran mail.docx", "A 4772-2022")</f>
        <v/>
      </c>
    </row>
    <row r="23" ht="15" customHeight="1">
      <c r="A23" t="inlineStr">
        <is>
          <t>A 40813-2021</t>
        </is>
      </c>
      <c r="B23" s="1" t="n">
        <v>44421</v>
      </c>
      <c r="C23" s="1" t="n">
        <v>46202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39640-2021</t>
        </is>
      </c>
      <c r="B24" s="1" t="n">
        <v>44417</v>
      </c>
      <c r="C24" s="1" t="n">
        <v>46202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63666-2021</t>
        </is>
      </c>
      <c r="B25" s="1" t="n">
        <v>44509</v>
      </c>
      <c r="C25" s="1" t="n">
        <v>46202</v>
      </c>
      <c r="D25" t="inlineStr">
        <is>
          <t>ÖSTERGÖTLANDS LÄN</t>
        </is>
      </c>
      <c r="E25" t="inlineStr">
        <is>
          <t>ÖDESHÖG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71029-2021</t>
        </is>
      </c>
      <c r="B26" s="1" t="n">
        <v>44538</v>
      </c>
      <c r="C26" s="1" t="n">
        <v>46202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8913-2022</t>
        </is>
      </c>
      <c r="B27" s="1" t="n">
        <v>44614</v>
      </c>
      <c r="C27" s="1" t="n">
        <v>46202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3122-2022</t>
        </is>
      </c>
      <c r="B28" s="1" t="n">
        <v>44582</v>
      </c>
      <c r="C28" s="1" t="n">
        <v>46202</v>
      </c>
      <c r="D28" t="inlineStr">
        <is>
          <t>ÖSTERGÖTLANDS LÄN</t>
        </is>
      </c>
      <c r="E28" t="inlineStr">
        <is>
          <t>ÖDESHÖG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</v>
      </c>
      <c r="C29" s="1" t="n">
        <v>46202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46202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40811-2021</t>
        </is>
      </c>
      <c r="B31" s="1" t="n">
        <v>44421</v>
      </c>
      <c r="C31" s="1" t="n">
        <v>46202</v>
      </c>
      <c r="D31" t="inlineStr">
        <is>
          <t>ÖSTERGÖTLANDS LÄN</t>
        </is>
      </c>
      <c r="E31" t="inlineStr">
        <is>
          <t>ÖDESHÖG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36124-2022</t>
        </is>
      </c>
      <c r="B32" s="1" t="n">
        <v>44803</v>
      </c>
      <c r="C32" s="1" t="n">
        <v>46202</v>
      </c>
      <c r="D32" t="inlineStr">
        <is>
          <t>ÖSTERGÖTLANDS LÄN</t>
        </is>
      </c>
      <c r="E32" t="inlineStr">
        <is>
          <t>ÖDESHÖG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62919-2021</t>
        </is>
      </c>
      <c r="B33" s="1" t="n">
        <v>44504</v>
      </c>
      <c r="C33" s="1" t="n">
        <v>46202</v>
      </c>
      <c r="D33" t="inlineStr">
        <is>
          <t>ÖSTERGÖTLANDS LÄN</t>
        </is>
      </c>
      <c r="E33" t="inlineStr">
        <is>
          <t>ÖDESHÖG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51771-2021</t>
        </is>
      </c>
      <c r="B34" s="1" t="n">
        <v>44462</v>
      </c>
      <c r="C34" s="1" t="n">
        <v>46202</v>
      </c>
      <c r="D34" t="inlineStr">
        <is>
          <t>ÖSTERGÖTLANDS LÄN</t>
        </is>
      </c>
      <c r="E34" t="inlineStr">
        <is>
          <t>ÖDESHÖG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64622-2021</t>
        </is>
      </c>
      <c r="B35" s="1" t="n">
        <v>44511</v>
      </c>
      <c r="C35" s="1" t="n">
        <v>46202</v>
      </c>
      <c r="D35" t="inlineStr">
        <is>
          <t>ÖSTERGÖTLANDS LÄN</t>
        </is>
      </c>
      <c r="E35" t="inlineStr">
        <is>
          <t>ÖDESHÖG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46202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</v>
      </c>
      <c r="C37" s="1" t="n">
        <v>46202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35597-2021</t>
        </is>
      </c>
      <c r="B38" s="1" t="n">
        <v>44386</v>
      </c>
      <c r="C38" s="1" t="n">
        <v>46202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16152-2022</t>
        </is>
      </c>
      <c r="B39" s="1" t="n">
        <v>44666</v>
      </c>
      <c r="C39" s="1" t="n">
        <v>46202</v>
      </c>
      <c r="D39" t="inlineStr">
        <is>
          <t>ÖSTERGÖTLANDS LÄN</t>
        </is>
      </c>
      <c r="E39" t="inlineStr">
        <is>
          <t>ÖDESHÖG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46202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6705-2024</t>
        </is>
      </c>
      <c r="B41" s="1" t="n">
        <v>45342</v>
      </c>
      <c r="C41" s="1" t="n">
        <v>46202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</v>
      </c>
      <c r="C42" s="1" t="n">
        <v>46202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20244-2022</t>
        </is>
      </c>
      <c r="B43" s="1" t="n">
        <v>44698</v>
      </c>
      <c r="C43" s="1" t="n">
        <v>46202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6557-2025</t>
        </is>
      </c>
      <c r="B44" s="1" t="n">
        <v>45699</v>
      </c>
      <c r="C44" s="1" t="n">
        <v>46202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32378-2024</t>
        </is>
      </c>
      <c r="B45" s="1" t="n">
        <v>45512</v>
      </c>
      <c r="C45" s="1" t="n">
        <v>46202</v>
      </c>
      <c r="D45" t="inlineStr">
        <is>
          <t>ÖSTERGÖTLANDS LÄN</t>
        </is>
      </c>
      <c r="E45" t="inlineStr">
        <is>
          <t>ÖDESHÖG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5819-2024</t>
        </is>
      </c>
      <c r="B46" s="1" t="n">
        <v>45335</v>
      </c>
      <c r="C46" s="1" t="n">
        <v>46202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35661-2024</t>
        </is>
      </c>
      <c r="B47" s="1" t="n">
        <v>45532</v>
      </c>
      <c r="C47" s="1" t="n">
        <v>46202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46202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36114-2022</t>
        </is>
      </c>
      <c r="B49" s="1" t="n">
        <v>44803</v>
      </c>
      <c r="C49" s="1" t="n">
        <v>46202</v>
      </c>
      <c r="D49" t="inlineStr">
        <is>
          <t>ÖSTERGÖTLANDS LÄN</t>
        </is>
      </c>
      <c r="E49" t="inlineStr">
        <is>
          <t>ÖDESHÖG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3198-2024</t>
        </is>
      </c>
      <c r="B50" s="1" t="n">
        <v>45316</v>
      </c>
      <c r="C50" s="1" t="n">
        <v>46202</v>
      </c>
      <c r="D50" t="inlineStr">
        <is>
          <t>ÖSTERGÖTLANDS LÄN</t>
        </is>
      </c>
      <c r="E50" t="inlineStr">
        <is>
          <t>ÖDESHÖG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8256-2023</t>
        </is>
      </c>
      <c r="B51" s="1" t="n">
        <v>44974</v>
      </c>
      <c r="C51" s="1" t="n">
        <v>46202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26949-2023</t>
        </is>
      </c>
      <c r="B52" s="1" t="n">
        <v>45093</v>
      </c>
      <c r="C52" s="1" t="n">
        <v>46202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15813-2022</t>
        </is>
      </c>
      <c r="B53" s="1" t="n">
        <v>44664</v>
      </c>
      <c r="C53" s="1" t="n">
        <v>46202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38152-2023</t>
        </is>
      </c>
      <c r="B54" s="1" t="n">
        <v>45161</v>
      </c>
      <c r="C54" s="1" t="n">
        <v>46202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19351-2023</t>
        </is>
      </c>
      <c r="B55" s="1" t="n">
        <v>45049</v>
      </c>
      <c r="C55" s="1" t="n">
        <v>46202</v>
      </c>
      <c r="D55" t="inlineStr">
        <is>
          <t>ÖSTERGÖTLANDS LÄN</t>
        </is>
      </c>
      <c r="E55" t="inlineStr">
        <is>
          <t>ÖDESHÖG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32335-2024</t>
        </is>
      </c>
      <c r="B56" s="1" t="n">
        <v>45512</v>
      </c>
      <c r="C56" s="1" t="n">
        <v>46202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8515-2022</t>
        </is>
      </c>
      <c r="B57" s="1" t="n">
        <v>44613</v>
      </c>
      <c r="C57" s="1" t="n">
        <v>46202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44069-2023</t>
        </is>
      </c>
      <c r="B58" s="1" t="n">
        <v>45188</v>
      </c>
      <c r="C58" s="1" t="n">
        <v>46202</v>
      </c>
      <c r="D58" t="inlineStr">
        <is>
          <t>ÖSTERGÖTLANDS LÄN</t>
        </is>
      </c>
      <c r="E58" t="inlineStr">
        <is>
          <t>ÖDESHÖG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61880-2021</t>
        </is>
      </c>
      <c r="B59" s="1" t="n">
        <v>44502</v>
      </c>
      <c r="C59" s="1" t="n">
        <v>46202</v>
      </c>
      <c r="D59" t="inlineStr">
        <is>
          <t>ÖSTERGÖTLANDS LÄN</t>
        </is>
      </c>
      <c r="E59" t="inlineStr">
        <is>
          <t>ÖDESHÖG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56841-2022</t>
        </is>
      </c>
      <c r="B60" s="1" t="n">
        <v>44894</v>
      </c>
      <c r="C60" s="1" t="n">
        <v>46202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</v>
      </c>
      <c r="C61" s="1" t="n">
        <v>46202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5283-2024</t>
        </is>
      </c>
      <c r="B62" s="1" t="n">
        <v>45331</v>
      </c>
      <c r="C62" s="1" t="n">
        <v>46202</v>
      </c>
      <c r="D62" t="inlineStr">
        <is>
          <t>ÖSTERGÖTLANDS LÄN</t>
        </is>
      </c>
      <c r="E62" t="inlineStr">
        <is>
          <t>ÖDESHÖG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11280-2025</t>
        </is>
      </c>
      <c r="B63" s="1" t="n">
        <v>45726</v>
      </c>
      <c r="C63" s="1" t="n">
        <v>46202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15909-2024</t>
        </is>
      </c>
      <c r="B64" s="1" t="n">
        <v>45405</v>
      </c>
      <c r="C64" s="1" t="n">
        <v>46202</v>
      </c>
      <c r="D64" t="inlineStr">
        <is>
          <t>ÖSTERGÖTLANDS LÄN</t>
        </is>
      </c>
      <c r="E64" t="inlineStr">
        <is>
          <t>ÖDESHÖG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33375-2024</t>
        </is>
      </c>
      <c r="B65" s="1" t="n">
        <v>45519</v>
      </c>
      <c r="C65" s="1" t="n">
        <v>46202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38259-2023</t>
        </is>
      </c>
      <c r="B66" s="1" t="n">
        <v>45161</v>
      </c>
      <c r="C66" s="1" t="n">
        <v>46202</v>
      </c>
      <c r="D66" t="inlineStr">
        <is>
          <t>ÖSTERGÖTLANDS LÄN</t>
        </is>
      </c>
      <c r="E66" t="inlineStr">
        <is>
          <t>ÖDESHÖG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43263-2023</t>
        </is>
      </c>
      <c r="B67" s="1" t="n">
        <v>45183</v>
      </c>
      <c r="C67" s="1" t="n">
        <v>46202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46536-2024</t>
        </is>
      </c>
      <c r="B68" s="1" t="n">
        <v>45582</v>
      </c>
      <c r="C68" s="1" t="n">
        <v>46202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61011-2024</t>
        </is>
      </c>
      <c r="B69" s="1" t="n">
        <v>45645</v>
      </c>
      <c r="C69" s="1" t="n">
        <v>46202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39032-2023</t>
        </is>
      </c>
      <c r="B70" s="1" t="n">
        <v>45163</v>
      </c>
      <c r="C70" s="1" t="n">
        <v>46202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38723-2023</t>
        </is>
      </c>
      <c r="B71" s="1" t="n">
        <v>45163</v>
      </c>
      <c r="C71" s="1" t="n">
        <v>46202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38212-2023</t>
        </is>
      </c>
      <c r="B72" s="1" t="n">
        <v>45161</v>
      </c>
      <c r="C72" s="1" t="n">
        <v>46202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50387-2024</t>
        </is>
      </c>
      <c r="B73" s="1" t="n">
        <v>45600</v>
      </c>
      <c r="C73" s="1" t="n">
        <v>46202</v>
      </c>
      <c r="D73" t="inlineStr">
        <is>
          <t>ÖSTERGÖTLANDS LÄN</t>
        </is>
      </c>
      <c r="E73" t="inlineStr">
        <is>
          <t>ÖDESHÖG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3130-2025</t>
        </is>
      </c>
      <c r="B74" s="1" t="n">
        <v>45678</v>
      </c>
      <c r="C74" s="1" t="n">
        <v>46202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15907-2024</t>
        </is>
      </c>
      <c r="B75" s="1" t="n">
        <v>45405</v>
      </c>
      <c r="C75" s="1" t="n">
        <v>46202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15915-2024</t>
        </is>
      </c>
      <c r="B76" s="1" t="n">
        <v>45405</v>
      </c>
      <c r="C76" s="1" t="n">
        <v>46202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20232-2022</t>
        </is>
      </c>
      <c r="B77" s="1" t="n">
        <v>44698</v>
      </c>
      <c r="C77" s="1" t="n">
        <v>46202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2512-2024</t>
        </is>
      </c>
      <c r="B78" s="1" t="n">
        <v>45313</v>
      </c>
      <c r="C78" s="1" t="n">
        <v>46202</v>
      </c>
      <c r="D78" t="inlineStr">
        <is>
          <t>ÖSTERGÖTLANDS LÄN</t>
        </is>
      </c>
      <c r="E78" t="inlineStr">
        <is>
          <t>ÖDESHÖG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64709-2023</t>
        </is>
      </c>
      <c r="B79" s="1" t="n">
        <v>45281</v>
      </c>
      <c r="C79" s="1" t="n">
        <v>46202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64710-2023</t>
        </is>
      </c>
      <c r="B80" s="1" t="n">
        <v>45281</v>
      </c>
      <c r="C80" s="1" t="n">
        <v>46202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36730-2023</t>
        </is>
      </c>
      <c r="B81" s="1" t="n">
        <v>45153</v>
      </c>
      <c r="C81" s="1" t="n">
        <v>46202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39920-2024</t>
        </is>
      </c>
      <c r="B82" s="1" t="n">
        <v>45553</v>
      </c>
      <c r="C82" s="1" t="n">
        <v>46202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45973-2024</t>
        </is>
      </c>
      <c r="B83" s="1" t="n">
        <v>45580</v>
      </c>
      <c r="C83" s="1" t="n">
        <v>46202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9448-2023</t>
        </is>
      </c>
      <c r="B84" s="1" t="n">
        <v>44981</v>
      </c>
      <c r="C84" s="1" t="n">
        <v>46202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16168-2023</t>
        </is>
      </c>
      <c r="B85" s="1" t="n">
        <v>45027</v>
      </c>
      <c r="C85" s="1" t="n">
        <v>46202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21770-2023</t>
        </is>
      </c>
      <c r="B86" s="1" t="n">
        <v>45065</v>
      </c>
      <c r="C86" s="1" t="n">
        <v>46202</v>
      </c>
      <c r="D86" t="inlineStr">
        <is>
          <t>ÖSTERGÖTLANDS LÄN</t>
        </is>
      </c>
      <c r="E86" t="inlineStr">
        <is>
          <t>ÖDESHÖG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36099-2024</t>
        </is>
      </c>
      <c r="B87" s="1" t="n">
        <v>45533</v>
      </c>
      <c r="C87" s="1" t="n">
        <v>46202</v>
      </c>
      <c r="D87" t="inlineStr">
        <is>
          <t>ÖSTERGÖTLANDS LÄN</t>
        </is>
      </c>
      <c r="E87" t="inlineStr">
        <is>
          <t>ÖDESHÖG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8063-2025</t>
        </is>
      </c>
      <c r="B88" s="1" t="n">
        <v>45707</v>
      </c>
      <c r="C88" s="1" t="n">
        <v>46202</v>
      </c>
      <c r="D88" t="inlineStr">
        <is>
          <t>ÖSTERGÖTLANDS LÄN</t>
        </is>
      </c>
      <c r="E88" t="inlineStr">
        <is>
          <t>ÖDESHÖG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54226-2021</t>
        </is>
      </c>
      <c r="B89" s="1" t="n">
        <v>44470</v>
      </c>
      <c r="C89" s="1" t="n">
        <v>46202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32715-2024</t>
        </is>
      </c>
      <c r="B90" s="1" t="n">
        <v>45516</v>
      </c>
      <c r="C90" s="1" t="n">
        <v>46202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6465-2025</t>
        </is>
      </c>
      <c r="B91" s="1" t="n">
        <v>45699</v>
      </c>
      <c r="C91" s="1" t="n">
        <v>46202</v>
      </c>
      <c r="D91" t="inlineStr">
        <is>
          <t>ÖSTERGÖTLANDS LÄN</t>
        </is>
      </c>
      <c r="E91" t="inlineStr">
        <is>
          <t>ÖDESHÖG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1749-2025</t>
        </is>
      </c>
      <c r="B92" s="1" t="n">
        <v>45671</v>
      </c>
      <c r="C92" s="1" t="n">
        <v>46202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46528-2024</t>
        </is>
      </c>
      <c r="B93" s="1" t="n">
        <v>45582</v>
      </c>
      <c r="C93" s="1" t="n">
        <v>46202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11972-2023</t>
        </is>
      </c>
      <c r="B94" s="1" t="n">
        <v>44994</v>
      </c>
      <c r="C94" s="1" t="n">
        <v>46202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12332-2023</t>
        </is>
      </c>
      <c r="B95" s="1" t="n">
        <v>44999</v>
      </c>
      <c r="C95" s="1" t="n">
        <v>46202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36075-2023</t>
        </is>
      </c>
      <c r="B96" s="1" t="n">
        <v>45149</v>
      </c>
      <c r="C96" s="1" t="n">
        <v>46202</v>
      </c>
      <c r="D96" t="inlineStr">
        <is>
          <t>ÖSTERGÖTLANDS LÄN</t>
        </is>
      </c>
      <c r="E96" t="inlineStr">
        <is>
          <t>ÖDESHÖG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38718-2023</t>
        </is>
      </c>
      <c r="B97" s="1" t="n">
        <v>45163</v>
      </c>
      <c r="C97" s="1" t="n">
        <v>46202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1674-2023</t>
        </is>
      </c>
      <c r="B98" s="1" t="n">
        <v>44938</v>
      </c>
      <c r="C98" s="1" t="n">
        <v>46202</v>
      </c>
      <c r="D98" t="inlineStr">
        <is>
          <t>ÖSTERGÖTLANDS LÄN</t>
        </is>
      </c>
      <c r="E98" t="inlineStr">
        <is>
          <t>ÖDESHÖG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35079-2023</t>
        </is>
      </c>
      <c r="B99" s="1" t="n">
        <v>45145</v>
      </c>
      <c r="C99" s="1" t="n">
        <v>46202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17126-2024</t>
        </is>
      </c>
      <c r="B100" s="1" t="n">
        <v>45412</v>
      </c>
      <c r="C100" s="1" t="n">
        <v>46202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15906-2024</t>
        </is>
      </c>
      <c r="B101" s="1" t="n">
        <v>45405</v>
      </c>
      <c r="C101" s="1" t="n">
        <v>46202</v>
      </c>
      <c r="D101" t="inlineStr">
        <is>
          <t>ÖSTERGÖTLANDS LÄN</t>
        </is>
      </c>
      <c r="E101" t="inlineStr">
        <is>
          <t>ÖDESHÖG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6421-2025</t>
        </is>
      </c>
      <c r="B102" s="1" t="n">
        <v>45699</v>
      </c>
      <c r="C102" s="1" t="n">
        <v>46202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6456-2025</t>
        </is>
      </c>
      <c r="B103" s="1" t="n">
        <v>45699</v>
      </c>
      <c r="C103" s="1" t="n">
        <v>46202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17618-2024</t>
        </is>
      </c>
      <c r="B104" s="1" t="n">
        <v>45416</v>
      </c>
      <c r="C104" s="1" t="n">
        <v>46202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47993-2024</t>
        </is>
      </c>
      <c r="B105" s="1" t="n">
        <v>45589</v>
      </c>
      <c r="C105" s="1" t="n">
        <v>46202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4678-2024</t>
        </is>
      </c>
      <c r="B106" s="1" t="n">
        <v>45328</v>
      </c>
      <c r="C106" s="1" t="n">
        <v>46202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5513-2025</t>
        </is>
      </c>
      <c r="B107" s="1" t="n">
        <v>45693</v>
      </c>
      <c r="C107" s="1" t="n">
        <v>46202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</v>
      </c>
      <c r="C108" s="1" t="n">
        <v>46202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14156-2023</t>
        </is>
      </c>
      <c r="B109" s="1" t="n">
        <v>45009</v>
      </c>
      <c r="C109" s="1" t="n">
        <v>46202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21771-2023</t>
        </is>
      </c>
      <c r="B110" s="1" t="n">
        <v>45065</v>
      </c>
      <c r="C110" s="1" t="n">
        <v>46202</v>
      </c>
      <c r="D110" t="inlineStr">
        <is>
          <t>ÖSTERGÖTLANDS LÄN</t>
        </is>
      </c>
      <c r="E110" t="inlineStr">
        <is>
          <t>ÖDESHÖG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35097-2023</t>
        </is>
      </c>
      <c r="B111" s="1" t="n">
        <v>45145</v>
      </c>
      <c r="C111" s="1" t="n">
        <v>46202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13129-2023</t>
        </is>
      </c>
      <c r="B112" s="1" t="n">
        <v>45002</v>
      </c>
      <c r="C112" s="1" t="n">
        <v>46202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64802-2021</t>
        </is>
      </c>
      <c r="B113" s="1" t="n">
        <v>44512</v>
      </c>
      <c r="C113" s="1" t="n">
        <v>46202</v>
      </c>
      <c r="D113" t="inlineStr">
        <is>
          <t>ÖSTERGÖTLANDS LÄN</t>
        </is>
      </c>
      <c r="E113" t="inlineStr">
        <is>
          <t>ÖDESHÖG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16128-2025</t>
        </is>
      </c>
      <c r="B114" s="1" t="n">
        <v>45750</v>
      </c>
      <c r="C114" s="1" t="n">
        <v>46202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35411-2023</t>
        </is>
      </c>
      <c r="B115" s="1" t="n">
        <v>45146</v>
      </c>
      <c r="C115" s="1" t="n">
        <v>46202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16270-2024</t>
        </is>
      </c>
      <c r="B116" s="1" t="n">
        <v>45407</v>
      </c>
      <c r="C116" s="1" t="n">
        <v>46202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38266-2022</t>
        </is>
      </c>
      <c r="B117" s="1" t="n">
        <v>44812</v>
      </c>
      <c r="C117" s="1" t="n">
        <v>46202</v>
      </c>
      <c r="D117" t="inlineStr">
        <is>
          <t>ÖSTERGÖTLANDS LÄN</t>
        </is>
      </c>
      <c r="E117" t="inlineStr">
        <is>
          <t>ÖDESHÖG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3149-2024</t>
        </is>
      </c>
      <c r="B118" s="1" t="n">
        <v>45316</v>
      </c>
      <c r="C118" s="1" t="n">
        <v>46202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30945-2023</t>
        </is>
      </c>
      <c r="B119" s="1" t="n">
        <v>45113</v>
      </c>
      <c r="C119" s="1" t="n">
        <v>46202</v>
      </c>
      <c r="D119" t="inlineStr">
        <is>
          <t>ÖSTERGÖTLANDS LÄN</t>
        </is>
      </c>
      <c r="E119" t="inlineStr">
        <is>
          <t>ÖDESHÖG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30964-2023</t>
        </is>
      </c>
      <c r="B120" s="1" t="n">
        <v>45113</v>
      </c>
      <c r="C120" s="1" t="n">
        <v>46202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51180-2024</t>
        </is>
      </c>
      <c r="B121" s="1" t="n">
        <v>45603</v>
      </c>
      <c r="C121" s="1" t="n">
        <v>46202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35229-2023</t>
        </is>
      </c>
      <c r="B122" s="1" t="n">
        <v>45145</v>
      </c>
      <c r="C122" s="1" t="n">
        <v>46202</v>
      </c>
      <c r="D122" t="inlineStr">
        <is>
          <t>ÖSTERGÖTLANDS LÄN</t>
        </is>
      </c>
      <c r="E122" t="inlineStr">
        <is>
          <t>ÖDESHÖG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1323-2023</t>
        </is>
      </c>
      <c r="B123" s="1" t="n">
        <v>44936</v>
      </c>
      <c r="C123" s="1" t="n">
        <v>46202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14736-2024</t>
        </is>
      </c>
      <c r="B124" s="1" t="n">
        <v>45397</v>
      </c>
      <c r="C124" s="1" t="n">
        <v>46202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25729-2023</t>
        </is>
      </c>
      <c r="B125" s="1" t="n">
        <v>45084</v>
      </c>
      <c r="C125" s="1" t="n">
        <v>46202</v>
      </c>
      <c r="D125" t="inlineStr">
        <is>
          <t>ÖSTERGÖTLANDS LÄN</t>
        </is>
      </c>
      <c r="E125" t="inlineStr">
        <is>
          <t>ÖDESHÖG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48325-2022</t>
        </is>
      </c>
      <c r="B126" s="1" t="n">
        <v>44858</v>
      </c>
      <c r="C126" s="1" t="n">
        <v>46202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51178-2024</t>
        </is>
      </c>
      <c r="B127" s="1" t="n">
        <v>45603</v>
      </c>
      <c r="C127" s="1" t="n">
        <v>46202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11699-2024</t>
        </is>
      </c>
      <c r="B128" s="1" t="n">
        <v>45373</v>
      </c>
      <c r="C128" s="1" t="n">
        <v>46202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11704-2024</t>
        </is>
      </c>
      <c r="B129" s="1" t="n">
        <v>45373</v>
      </c>
      <c r="C129" s="1" t="n">
        <v>46202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30388-2024</t>
        </is>
      </c>
      <c r="B130" s="1" t="n">
        <v>45491</v>
      </c>
      <c r="C130" s="1" t="n">
        <v>46202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19157-2023</t>
        </is>
      </c>
      <c r="B131" s="1" t="n">
        <v>45048</v>
      </c>
      <c r="C131" s="1" t="n">
        <v>46202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55971-2023</t>
        </is>
      </c>
      <c r="B132" s="1" t="n">
        <v>45240</v>
      </c>
      <c r="C132" s="1" t="n">
        <v>46202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16164-2023</t>
        </is>
      </c>
      <c r="B133" s="1" t="n">
        <v>45027</v>
      </c>
      <c r="C133" s="1" t="n">
        <v>46202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30600-2025</t>
        </is>
      </c>
      <c r="B134" s="1" t="n">
        <v>45831</v>
      </c>
      <c r="C134" s="1" t="n">
        <v>46202</v>
      </c>
      <c r="D134" t="inlineStr">
        <is>
          <t>ÖSTERGÖTLANDS LÄN</t>
        </is>
      </c>
      <c r="E134" t="inlineStr">
        <is>
          <t>ÖDESHÖG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39024-2023</t>
        </is>
      </c>
      <c r="B135" s="1" t="n">
        <v>45163</v>
      </c>
      <c r="C135" s="1" t="n">
        <v>46202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47597-2023</t>
        </is>
      </c>
      <c r="B136" s="1" t="n">
        <v>45203</v>
      </c>
      <c r="C136" s="1" t="n">
        <v>46202</v>
      </c>
      <c r="D136" t="inlineStr">
        <is>
          <t>ÖSTERGÖTLANDS LÄN</t>
        </is>
      </c>
      <c r="E136" t="inlineStr">
        <is>
          <t>ÖDESHÖG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11193-2023</t>
        </is>
      </c>
      <c r="B137" s="1" t="n">
        <v>44992</v>
      </c>
      <c r="C137" s="1" t="n">
        <v>46202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32466-2025</t>
        </is>
      </c>
      <c r="B138" s="1" t="n">
        <v>45838</v>
      </c>
      <c r="C138" s="1" t="n">
        <v>46202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21855-2022</t>
        </is>
      </c>
      <c r="B139" s="1" t="n">
        <v>44709</v>
      </c>
      <c r="C139" s="1" t="n">
        <v>46202</v>
      </c>
      <c r="D139" t="inlineStr">
        <is>
          <t>ÖSTERGÖTLANDS LÄN</t>
        </is>
      </c>
      <c r="E139" t="inlineStr">
        <is>
          <t>ÖDESHÖG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32476-2025</t>
        </is>
      </c>
      <c r="B140" s="1" t="n">
        <v>45838</v>
      </c>
      <c r="C140" s="1" t="n">
        <v>46202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32774-2025</t>
        </is>
      </c>
      <c r="B141" s="1" t="n">
        <v>45839</v>
      </c>
      <c r="C141" s="1" t="n">
        <v>46202</v>
      </c>
      <c r="D141" t="inlineStr">
        <is>
          <t>ÖSTERGÖTLANDS LÄN</t>
        </is>
      </c>
      <c r="E141" t="inlineStr">
        <is>
          <t>ÖDESHÖG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32464-2025</t>
        </is>
      </c>
      <c r="B142" s="1" t="n">
        <v>45838</v>
      </c>
      <c r="C142" s="1" t="n">
        <v>46202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8049-2025</t>
        </is>
      </c>
      <c r="B143" s="1" t="n">
        <v>45707</v>
      </c>
      <c r="C143" s="1" t="n">
        <v>46202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8067-2025</t>
        </is>
      </c>
      <c r="B144" s="1" t="n">
        <v>45707</v>
      </c>
      <c r="C144" s="1" t="n">
        <v>46202</v>
      </c>
      <c r="D144" t="inlineStr">
        <is>
          <t>ÖSTERGÖTLANDS LÄN</t>
        </is>
      </c>
      <c r="E144" t="inlineStr">
        <is>
          <t>ÖDESHÖG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72603-2021</t>
        </is>
      </c>
      <c r="B145" s="1" t="n">
        <v>44546</v>
      </c>
      <c r="C145" s="1" t="n">
        <v>46202</v>
      </c>
      <c r="D145" t="inlineStr">
        <is>
          <t>ÖSTERGÖTLANDS LÄN</t>
        </is>
      </c>
      <c r="E145" t="inlineStr">
        <is>
          <t>ÖDESHÖG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14166-2023</t>
        </is>
      </c>
      <c r="B146" s="1" t="n">
        <v>45009</v>
      </c>
      <c r="C146" s="1" t="n">
        <v>46202</v>
      </c>
      <c r="D146" t="inlineStr">
        <is>
          <t>ÖSTERGÖTLANDS LÄN</t>
        </is>
      </c>
      <c r="E146" t="inlineStr">
        <is>
          <t>ÖDESHÖG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30389-2024</t>
        </is>
      </c>
      <c r="B147" s="1" t="n">
        <v>45491</v>
      </c>
      <c r="C147" s="1" t="n">
        <v>46202</v>
      </c>
      <c r="D147" t="inlineStr">
        <is>
          <t>ÖSTERGÖTLANDS LÄN</t>
        </is>
      </c>
      <c r="E147" t="inlineStr">
        <is>
          <t>ÖDESHÖG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15344-2025</t>
        </is>
      </c>
      <c r="B148" s="1" t="n">
        <v>45747</v>
      </c>
      <c r="C148" s="1" t="n">
        <v>46202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10335-2022</t>
        </is>
      </c>
      <c r="B149" s="1" t="n">
        <v>44623</v>
      </c>
      <c r="C149" s="1" t="n">
        <v>46202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35095-2023</t>
        </is>
      </c>
      <c r="B150" s="1" t="n">
        <v>45145</v>
      </c>
      <c r="C150" s="1" t="n">
        <v>46202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35380-2023</t>
        </is>
      </c>
      <c r="B151" s="1" t="n">
        <v>45146</v>
      </c>
      <c r="C151" s="1" t="n">
        <v>46202</v>
      </c>
      <c r="D151" t="inlineStr">
        <is>
          <t>ÖSTERGÖTLANDS LÄN</t>
        </is>
      </c>
      <c r="E151" t="inlineStr">
        <is>
          <t>ÖDESHÖG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20612-2022</t>
        </is>
      </c>
      <c r="B152" s="1" t="n">
        <v>44700</v>
      </c>
      <c r="C152" s="1" t="n">
        <v>46202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54419-2024</t>
        </is>
      </c>
      <c r="B153" s="1" t="n">
        <v>45617</v>
      </c>
      <c r="C153" s="1" t="n">
        <v>46202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15198-2022</t>
        </is>
      </c>
      <c r="B154" s="1" t="n">
        <v>44658</v>
      </c>
      <c r="C154" s="1" t="n">
        <v>46202</v>
      </c>
      <c r="D154" t="inlineStr">
        <is>
          <t>ÖSTERGÖTLANDS LÄN</t>
        </is>
      </c>
      <c r="E154" t="inlineStr">
        <is>
          <t>ÖDESHÖG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6375-2025</t>
        </is>
      </c>
      <c r="B155" s="1" t="n">
        <v>45699</v>
      </c>
      <c r="C155" s="1" t="n">
        <v>46202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6592-2025</t>
        </is>
      </c>
      <c r="B156" s="1" t="n">
        <v>45700</v>
      </c>
      <c r="C156" s="1" t="n">
        <v>46202</v>
      </c>
      <c r="D156" t="inlineStr">
        <is>
          <t>ÖSTERGÖTLANDS LÄN</t>
        </is>
      </c>
      <c r="E156" t="inlineStr">
        <is>
          <t>ÖDESHÖG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35181-2025</t>
        </is>
      </c>
      <c r="B157" s="1" t="n">
        <v>45852</v>
      </c>
      <c r="C157" s="1" t="n">
        <v>46202</v>
      </c>
      <c r="D157" t="inlineStr">
        <is>
          <t>ÖSTERGÖTLANDS LÄN</t>
        </is>
      </c>
      <c r="E157" t="inlineStr">
        <is>
          <t>ÖDESHÖG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37843-2023</t>
        </is>
      </c>
      <c r="B158" s="1" t="n">
        <v>45160</v>
      </c>
      <c r="C158" s="1" t="n">
        <v>46202</v>
      </c>
      <c r="D158" t="inlineStr">
        <is>
          <t>ÖSTERGÖTLANDS LÄN</t>
        </is>
      </c>
      <c r="E158" t="inlineStr">
        <is>
          <t>ÖDESHÖG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14750-2023</t>
        </is>
      </c>
      <c r="B159" s="1" t="n">
        <v>45014</v>
      </c>
      <c r="C159" s="1" t="n">
        <v>46202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6506-2025</t>
        </is>
      </c>
      <c r="B160" s="1" t="n">
        <v>45699</v>
      </c>
      <c r="C160" s="1" t="n">
        <v>46202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47600-2023</t>
        </is>
      </c>
      <c r="B161" s="1" t="n">
        <v>45203</v>
      </c>
      <c r="C161" s="1" t="n">
        <v>46202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34961-2022</t>
        </is>
      </c>
      <c r="B162" s="1" t="n">
        <v>44796</v>
      </c>
      <c r="C162" s="1" t="n">
        <v>46202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14185-2023</t>
        </is>
      </c>
      <c r="B163" s="1" t="n">
        <v>45009</v>
      </c>
      <c r="C163" s="1" t="n">
        <v>46202</v>
      </c>
      <c r="D163" t="inlineStr">
        <is>
          <t>ÖSTERGÖTLANDS LÄN</t>
        </is>
      </c>
      <c r="E163" t="inlineStr">
        <is>
          <t>ÖDESHÖG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39024-2023</t>
        </is>
      </c>
      <c r="B164" s="1" t="n">
        <v>45163</v>
      </c>
      <c r="C164" s="1" t="n">
        <v>46202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27087-2024</t>
        </is>
      </c>
      <c r="B165" s="1" t="n">
        <v>45471</v>
      </c>
      <c r="C165" s="1" t="n">
        <v>46202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6368-2025</t>
        </is>
      </c>
      <c r="B166" s="1" t="n">
        <v>45699</v>
      </c>
      <c r="C166" s="1" t="n">
        <v>46202</v>
      </c>
      <c r="D166" t="inlineStr">
        <is>
          <t>ÖSTERGÖTLANDS LÄN</t>
        </is>
      </c>
      <c r="E166" t="inlineStr">
        <is>
          <t>ÖDESHÖG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21357-2025</t>
        </is>
      </c>
      <c r="B167" s="1" t="n">
        <v>45782</v>
      </c>
      <c r="C167" s="1" t="n">
        <v>46202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55173-2024</t>
        </is>
      </c>
      <c r="B168" s="1" t="n">
        <v>45618</v>
      </c>
      <c r="C168" s="1" t="n">
        <v>46202</v>
      </c>
      <c r="D168" t="inlineStr">
        <is>
          <t>ÖSTERGÖTLANDS LÄN</t>
        </is>
      </c>
      <c r="E168" t="inlineStr">
        <is>
          <t>ÖDESHÖG</t>
        </is>
      </c>
      <c r="G168" t="n">
        <v>16.5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21530-2025</t>
        </is>
      </c>
      <c r="B169" s="1" t="n">
        <v>45782</v>
      </c>
      <c r="C169" s="1" t="n">
        <v>46202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39190-2023</t>
        </is>
      </c>
      <c r="B170" s="1" t="n">
        <v>45166</v>
      </c>
      <c r="C170" s="1" t="n">
        <v>46202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48063-2025</t>
        </is>
      </c>
      <c r="B171" s="1" t="n">
        <v>45932</v>
      </c>
      <c r="C171" s="1" t="n">
        <v>46202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48611-2025</t>
        </is>
      </c>
      <c r="B172" s="1" t="n">
        <v>45936</v>
      </c>
      <c r="C172" s="1" t="n">
        <v>46202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48614-2025</t>
        </is>
      </c>
      <c r="B173" s="1" t="n">
        <v>45936</v>
      </c>
      <c r="C173" s="1" t="n">
        <v>46202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48575-2025</t>
        </is>
      </c>
      <c r="B174" s="1" t="n">
        <v>45936</v>
      </c>
      <c r="C174" s="1" t="n">
        <v>46202</v>
      </c>
      <c r="D174" t="inlineStr">
        <is>
          <t>ÖSTERGÖTLANDS LÄN</t>
        </is>
      </c>
      <c r="E174" t="inlineStr">
        <is>
          <t>ÖDESHÖG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50416-2025</t>
        </is>
      </c>
      <c r="B175" s="1" t="n">
        <v>45944</v>
      </c>
      <c r="C175" s="1" t="n">
        <v>46202</v>
      </c>
      <c r="D175" t="inlineStr">
        <is>
          <t>ÖSTERGÖTLANDS LÄN</t>
        </is>
      </c>
      <c r="E175" t="inlineStr">
        <is>
          <t>ÖDESHÖG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50358-2025</t>
        </is>
      </c>
      <c r="B176" s="1" t="n">
        <v>45944</v>
      </c>
      <c r="C176" s="1" t="n">
        <v>46202</v>
      </c>
      <c r="D176" t="inlineStr">
        <is>
          <t>ÖSTERGÖTLANDS LÄN</t>
        </is>
      </c>
      <c r="E176" t="inlineStr">
        <is>
          <t>ÖDESHÖG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51171-2025</t>
        </is>
      </c>
      <c r="B177" s="1" t="n">
        <v>45947</v>
      </c>
      <c r="C177" s="1" t="n">
        <v>46202</v>
      </c>
      <c r="D177" t="inlineStr">
        <is>
          <t>ÖSTERGÖTLANDS LÄN</t>
        </is>
      </c>
      <c r="E177" t="inlineStr">
        <is>
          <t>ÖDESHÖG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54590-2024</t>
        </is>
      </c>
      <c r="B178" s="1" t="n">
        <v>45617</v>
      </c>
      <c r="C178" s="1" t="n">
        <v>46202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3554-2025</t>
        </is>
      </c>
      <c r="B179" s="1" t="n">
        <v>45680</v>
      </c>
      <c r="C179" s="1" t="n">
        <v>46202</v>
      </c>
      <c r="D179" t="inlineStr">
        <is>
          <t>ÖSTERGÖTLANDS LÄN</t>
        </is>
      </c>
      <c r="E179" t="inlineStr">
        <is>
          <t>ÖDESHÖG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51328-2025</t>
        </is>
      </c>
      <c r="B180" s="1" t="n">
        <v>45950</v>
      </c>
      <c r="C180" s="1" t="n">
        <v>46202</v>
      </c>
      <c r="D180" t="inlineStr">
        <is>
          <t>ÖSTERGÖTLANDS LÄN</t>
        </is>
      </c>
      <c r="E180" t="inlineStr">
        <is>
          <t>ÖDESHÖG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41730-2025</t>
        </is>
      </c>
      <c r="B181" s="1" t="n">
        <v>45902</v>
      </c>
      <c r="C181" s="1" t="n">
        <v>46202</v>
      </c>
      <c r="D181" t="inlineStr">
        <is>
          <t>ÖSTERGÖTLANDS LÄN</t>
        </is>
      </c>
      <c r="E181" t="inlineStr">
        <is>
          <t>ÖDESHÖG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50818-2023</t>
        </is>
      </c>
      <c r="B182" s="1" t="n">
        <v>45217</v>
      </c>
      <c r="C182" s="1" t="n">
        <v>46202</v>
      </c>
      <c r="D182" t="inlineStr">
        <is>
          <t>ÖSTERGÖTLANDS LÄN</t>
        </is>
      </c>
      <c r="E182" t="inlineStr">
        <is>
          <t>ÖDESHÖG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14993-2023</t>
        </is>
      </c>
      <c r="B183" s="1" t="n">
        <v>45015</v>
      </c>
      <c r="C183" s="1" t="n">
        <v>46202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52469-2023</t>
        </is>
      </c>
      <c r="B184" s="1" t="n">
        <v>45225</v>
      </c>
      <c r="C184" s="1" t="n">
        <v>46202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19350-2023</t>
        </is>
      </c>
      <c r="B185" s="1" t="n">
        <v>45049</v>
      </c>
      <c r="C185" s="1" t="n">
        <v>46202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51041-2024</t>
        </is>
      </c>
      <c r="B186" s="1" t="n">
        <v>45603</v>
      </c>
      <c r="C186" s="1" t="n">
        <v>46202</v>
      </c>
      <c r="D186" t="inlineStr">
        <is>
          <t>ÖSTERGÖTLANDS LÄN</t>
        </is>
      </c>
      <c r="E186" t="inlineStr">
        <is>
          <t>ÖDESHÖG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21336-2025</t>
        </is>
      </c>
      <c r="B187" s="1" t="n">
        <v>45782</v>
      </c>
      <c r="C187" s="1" t="n">
        <v>46202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46063-2025</t>
        </is>
      </c>
      <c r="B188" s="1" t="n">
        <v>45924</v>
      </c>
      <c r="C188" s="1" t="n">
        <v>46202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20720-2025</t>
        </is>
      </c>
      <c r="B189" s="1" t="n">
        <v>45776</v>
      </c>
      <c r="C189" s="1" t="n">
        <v>46202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55901-2025</t>
        </is>
      </c>
      <c r="B190" s="1" t="n">
        <v>45973</v>
      </c>
      <c r="C190" s="1" t="n">
        <v>46202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46059-2025</t>
        </is>
      </c>
      <c r="B191" s="1" t="n">
        <v>45924</v>
      </c>
      <c r="C191" s="1" t="n">
        <v>46202</v>
      </c>
      <c r="D191" t="inlineStr">
        <is>
          <t>ÖSTERGÖTLANDS LÄN</t>
        </is>
      </c>
      <c r="E191" t="inlineStr">
        <is>
          <t>ÖDESHÖG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46778-2025</t>
        </is>
      </c>
      <c r="B192" s="1" t="n">
        <v>45926</v>
      </c>
      <c r="C192" s="1" t="n">
        <v>46202</v>
      </c>
      <c r="D192" t="inlineStr">
        <is>
          <t>ÖSTERGÖTLANDS LÄN</t>
        </is>
      </c>
      <c r="E192" t="inlineStr">
        <is>
          <t>ÖDESHÖG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55906-2025</t>
        </is>
      </c>
      <c r="B193" s="1" t="n">
        <v>45973</v>
      </c>
      <c r="C193" s="1" t="n">
        <v>46202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46999-2025</t>
        </is>
      </c>
      <c r="B194" s="1" t="n">
        <v>45929</v>
      </c>
      <c r="C194" s="1" t="n">
        <v>46202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55908-2025</t>
        </is>
      </c>
      <c r="B195" s="1" t="n">
        <v>45973</v>
      </c>
      <c r="C195" s="1" t="n">
        <v>46202</v>
      </c>
      <c r="D195" t="inlineStr">
        <is>
          <t>ÖSTERGÖTLANDS LÄN</t>
        </is>
      </c>
      <c r="E195" t="inlineStr">
        <is>
          <t>ÖDESHÖG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46788-2025</t>
        </is>
      </c>
      <c r="B196" s="1" t="n">
        <v>45926</v>
      </c>
      <c r="C196" s="1" t="n">
        <v>46202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47648-2025</t>
        </is>
      </c>
      <c r="B197" s="1" t="n">
        <v>45931</v>
      </c>
      <c r="C197" s="1" t="n">
        <v>46202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61808-2025</t>
        </is>
      </c>
      <c r="B198" s="1" t="n">
        <v>46002</v>
      </c>
      <c r="C198" s="1" t="n">
        <v>46202</v>
      </c>
      <c r="D198" t="inlineStr">
        <is>
          <t>ÖSTERGÖTLANDS LÄN</t>
        </is>
      </c>
      <c r="E198" t="inlineStr">
        <is>
          <t>ÖDESHÖG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61786-2025</t>
        </is>
      </c>
      <c r="B199" s="1" t="n">
        <v>46002</v>
      </c>
      <c r="C199" s="1" t="n">
        <v>46202</v>
      </c>
      <c r="D199" t="inlineStr">
        <is>
          <t>ÖSTERGÖTLANDS LÄN</t>
        </is>
      </c>
      <c r="E199" t="inlineStr">
        <is>
          <t>ÖDESHÖG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61796-2025</t>
        </is>
      </c>
      <c r="B200" s="1" t="n">
        <v>46002</v>
      </c>
      <c r="C200" s="1" t="n">
        <v>46202</v>
      </c>
      <c r="D200" t="inlineStr">
        <is>
          <t>ÖSTERGÖTLANDS LÄN</t>
        </is>
      </c>
      <c r="E200" t="inlineStr">
        <is>
          <t>ÖDESHÖG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61798-2025</t>
        </is>
      </c>
      <c r="B201" s="1" t="n">
        <v>46002</v>
      </c>
      <c r="C201" s="1" t="n">
        <v>46202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61800-2025</t>
        </is>
      </c>
      <c r="B202" s="1" t="n">
        <v>46002</v>
      </c>
      <c r="C202" s="1" t="n">
        <v>46202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61801-2025</t>
        </is>
      </c>
      <c r="B203" s="1" t="n">
        <v>46002</v>
      </c>
      <c r="C203" s="1" t="n">
        <v>46202</v>
      </c>
      <c r="D203" t="inlineStr">
        <is>
          <t>ÖSTERGÖTLANDS LÄN</t>
        </is>
      </c>
      <c r="E203" t="inlineStr">
        <is>
          <t>ÖDESHÖG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61809-2025</t>
        </is>
      </c>
      <c r="B204" s="1" t="n">
        <v>46002</v>
      </c>
      <c r="C204" s="1" t="n">
        <v>46202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61972-2025</t>
        </is>
      </c>
      <c r="B205" s="1" t="n">
        <v>46003</v>
      </c>
      <c r="C205" s="1" t="n">
        <v>46202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61470-2025</t>
        </is>
      </c>
      <c r="B206" s="1" t="n">
        <v>46001</v>
      </c>
      <c r="C206" s="1" t="n">
        <v>46202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61629-2025</t>
        </is>
      </c>
      <c r="B207" s="1" t="n">
        <v>46002</v>
      </c>
      <c r="C207" s="1" t="n">
        <v>46202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62482-2025</t>
        </is>
      </c>
      <c r="B208" s="1" t="n">
        <v>46007</v>
      </c>
      <c r="C208" s="1" t="n">
        <v>46202</v>
      </c>
      <c r="D208" t="inlineStr">
        <is>
          <t>ÖSTERGÖTLANDS LÄN</t>
        </is>
      </c>
      <c r="E208" t="inlineStr">
        <is>
          <t>ÖDESHÖG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62202-2025</t>
        </is>
      </c>
      <c r="B209" s="1" t="n">
        <v>46006</v>
      </c>
      <c r="C209" s="1" t="n">
        <v>46202</v>
      </c>
      <c r="D209" t="inlineStr">
        <is>
          <t>ÖSTERGÖTLANDS LÄN</t>
        </is>
      </c>
      <c r="E209" t="inlineStr">
        <is>
          <t>ÖDESHÖG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62801-2025</t>
        </is>
      </c>
      <c r="B210" s="1" t="n">
        <v>46008</v>
      </c>
      <c r="C210" s="1" t="n">
        <v>46202</v>
      </c>
      <c r="D210" t="inlineStr">
        <is>
          <t>ÖSTERGÖTLANDS LÄN</t>
        </is>
      </c>
      <c r="E210" t="inlineStr">
        <is>
          <t>ÖDESHÖG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64010-2025</t>
        </is>
      </c>
      <c r="B211" s="1" t="n">
        <v>46021</v>
      </c>
      <c r="C211" s="1" t="n">
        <v>46202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64015-2025</t>
        </is>
      </c>
      <c r="B212" s="1" t="n">
        <v>46021</v>
      </c>
      <c r="C212" s="1" t="n">
        <v>46202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163-2026</t>
        </is>
      </c>
      <c r="B213" s="1" t="n">
        <v>46024</v>
      </c>
      <c r="C213" s="1" t="n">
        <v>46202</v>
      </c>
      <c r="D213" t="inlineStr">
        <is>
          <t>ÖSTERGÖTLANDS LÄN</t>
        </is>
      </c>
      <c r="E213" t="inlineStr">
        <is>
          <t>ÖDESHÖG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602-2026</t>
        </is>
      </c>
      <c r="B214" s="1" t="n">
        <v>46029</v>
      </c>
      <c r="C214" s="1" t="n">
        <v>46202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1279-2026</t>
        </is>
      </c>
      <c r="B215" s="1" t="n">
        <v>46031</v>
      </c>
      <c r="C215" s="1" t="n">
        <v>46202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1261-2026</t>
        </is>
      </c>
      <c r="B216" s="1" t="n">
        <v>46031</v>
      </c>
      <c r="C216" s="1" t="n">
        <v>46202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1268-2026</t>
        </is>
      </c>
      <c r="B217" s="1" t="n">
        <v>46031</v>
      </c>
      <c r="C217" s="1" t="n">
        <v>46202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1133-2026</t>
        </is>
      </c>
      <c r="B218" s="1" t="n">
        <v>46030</v>
      </c>
      <c r="C218" s="1" t="n">
        <v>46202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1337-2026</t>
        </is>
      </c>
      <c r="B219" s="1" t="n">
        <v>46031</v>
      </c>
      <c r="C219" s="1" t="n">
        <v>46202</v>
      </c>
      <c r="D219" t="inlineStr">
        <is>
          <t>ÖSTERGÖTLANDS LÄN</t>
        </is>
      </c>
      <c r="E219" t="inlineStr">
        <is>
          <t>ÖDESHÖG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1264-2026</t>
        </is>
      </c>
      <c r="B220" s="1" t="n">
        <v>46031</v>
      </c>
      <c r="C220" s="1" t="n">
        <v>46202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1273-2026</t>
        </is>
      </c>
      <c r="B221" s="1" t="n">
        <v>46031</v>
      </c>
      <c r="C221" s="1" t="n">
        <v>46202</v>
      </c>
      <c r="D221" t="inlineStr">
        <is>
          <t>ÖSTERGÖTLANDS LÄN</t>
        </is>
      </c>
      <c r="E221" t="inlineStr">
        <is>
          <t>ÖDESHÖG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1585-2026</t>
        </is>
      </c>
      <c r="B222" s="1" t="n">
        <v>46034</v>
      </c>
      <c r="C222" s="1" t="n">
        <v>46202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1589-2026</t>
        </is>
      </c>
      <c r="B223" s="1" t="n">
        <v>46034</v>
      </c>
      <c r="C223" s="1" t="n">
        <v>46202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7375-2026</t>
        </is>
      </c>
      <c r="B224" s="1" t="n">
        <v>46059</v>
      </c>
      <c r="C224" s="1" t="n">
        <v>46202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8118-2026</t>
        </is>
      </c>
      <c r="B225" s="1" t="n">
        <v>46062</v>
      </c>
      <c r="C225" s="1" t="n">
        <v>46202</v>
      </c>
      <c r="D225" t="inlineStr">
        <is>
          <t>ÖSTERGÖTLANDS LÄN</t>
        </is>
      </c>
      <c r="E225" t="inlineStr">
        <is>
          <t>ÖDESHÖG</t>
        </is>
      </c>
      <c r="G225" t="n">
        <v>13.4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12872-2026</t>
        </is>
      </c>
      <c r="B226" s="1" t="n">
        <v>46092</v>
      </c>
      <c r="C226" s="1" t="n">
        <v>46202</v>
      </c>
      <c r="D226" t="inlineStr">
        <is>
          <t>ÖSTERGÖTLANDS LÄN</t>
        </is>
      </c>
      <c r="E226" t="inlineStr">
        <is>
          <t>ÖDESHÖG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12859-2026</t>
        </is>
      </c>
      <c r="B227" s="1" t="n">
        <v>46092</v>
      </c>
      <c r="C227" s="1" t="n">
        <v>46202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14617-2026</t>
        </is>
      </c>
      <c r="B228" s="1" t="n">
        <v>46101</v>
      </c>
      <c r="C228" s="1" t="n">
        <v>46202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16370-2026</t>
        </is>
      </c>
      <c r="B229" s="1" t="n">
        <v>46111</v>
      </c>
      <c r="C229" s="1" t="n">
        <v>46202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16414-2026</t>
        </is>
      </c>
      <c r="B230" s="1" t="n">
        <v>46111</v>
      </c>
      <c r="C230" s="1" t="n">
        <v>46202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16402-2026</t>
        </is>
      </c>
      <c r="B231" s="1" t="n">
        <v>46111</v>
      </c>
      <c r="C231" s="1" t="n">
        <v>46202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16341-2026</t>
        </is>
      </c>
      <c r="B232" s="1" t="n">
        <v>46111</v>
      </c>
      <c r="C232" s="1" t="n">
        <v>46202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16259-2026</t>
        </is>
      </c>
      <c r="B233" s="1" t="n">
        <v>46109</v>
      </c>
      <c r="C233" s="1" t="n">
        <v>46202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16262-2026</t>
        </is>
      </c>
      <c r="B234" s="1" t="n">
        <v>46109</v>
      </c>
      <c r="C234" s="1" t="n">
        <v>46202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17950-2026</t>
        </is>
      </c>
      <c r="B235" s="1" t="n">
        <v>46122</v>
      </c>
      <c r="C235" s="1" t="n">
        <v>46202</v>
      </c>
      <c r="D235" t="inlineStr">
        <is>
          <t>ÖSTERGÖTLANDS LÄN</t>
        </is>
      </c>
      <c r="E235" t="inlineStr">
        <is>
          <t>ÖDESHÖG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25863-2026</t>
        </is>
      </c>
      <c r="B236" s="1" t="n">
        <v>46178</v>
      </c>
      <c r="C236" s="1" t="n">
        <v>46202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25895-2026</t>
        </is>
      </c>
      <c r="B237" s="1" t="n">
        <v>46178</v>
      </c>
      <c r="C237" s="1" t="n">
        <v>46202</v>
      </c>
      <c r="D237" t="inlineStr">
        <is>
          <t>ÖSTERGÖTLANDS LÄN</t>
        </is>
      </c>
      <c r="E237" t="inlineStr">
        <is>
          <t>ÖDESHÖG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39027-2023</t>
        </is>
      </c>
      <c r="B238" s="1" t="n">
        <v>45163</v>
      </c>
      <c r="C238" s="1" t="n">
        <v>46202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25975-2026</t>
        </is>
      </c>
      <c r="B239" s="1" t="n">
        <v>46181</v>
      </c>
      <c r="C239" s="1" t="n">
        <v>46202</v>
      </c>
      <c r="D239" t="inlineStr">
        <is>
          <t>ÖSTERGÖTLANDS LÄN</t>
        </is>
      </c>
      <c r="E239" t="inlineStr">
        <is>
          <t>ÖDESHÖG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5350-2025</t>
        </is>
      </c>
      <c r="B240" s="1" t="n">
        <v>45692</v>
      </c>
      <c r="C240" s="1" t="n">
        <v>46202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25816-2026</t>
        </is>
      </c>
      <c r="B241" s="1" t="n">
        <v>46178</v>
      </c>
      <c r="C241" s="1" t="n">
        <v>46202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165-2026</t>
        </is>
      </c>
      <c r="B242" s="1" t="n">
        <v>46024</v>
      </c>
      <c r="C242" s="1" t="n">
        <v>46202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63074-2025</t>
        </is>
      </c>
      <c r="B243" s="1" t="n">
        <v>46009</v>
      </c>
      <c r="C243" s="1" t="n">
        <v>46202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27274-2026</t>
        </is>
      </c>
      <c r="B244" s="1" t="n">
        <v>46184</v>
      </c>
      <c r="C244" s="1" t="n">
        <v>46202</v>
      </c>
      <c r="D244" t="inlineStr">
        <is>
          <t>ÖSTERGÖTLANDS LÄN</t>
        </is>
      </c>
      <c r="E244" t="inlineStr">
        <is>
          <t>ÖDESHÖG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27292-2026</t>
        </is>
      </c>
      <c r="B245" s="1" t="n">
        <v>46184</v>
      </c>
      <c r="C245" s="1" t="n">
        <v>46202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63115-2025</t>
        </is>
      </c>
      <c r="B246" s="1" t="n">
        <v>46009</v>
      </c>
      <c r="C246" s="1" t="n">
        <v>46202</v>
      </c>
      <c r="D246" t="inlineStr">
        <is>
          <t>ÖSTERGÖTLANDS LÄN</t>
        </is>
      </c>
      <c r="E246" t="inlineStr">
        <is>
          <t>ÖDESHÖG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28704-2026</t>
        </is>
      </c>
      <c r="B247" s="1" t="n">
        <v>46198</v>
      </c>
      <c r="C247" s="1" t="n">
        <v>46202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28718-2026</t>
        </is>
      </c>
      <c r="B248" s="1" t="n">
        <v>46198</v>
      </c>
      <c r="C248" s="1" t="n">
        <v>46202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28908-2026</t>
        </is>
      </c>
      <c r="B249" s="1" t="n">
        <v>46199</v>
      </c>
      <c r="C249" s="1" t="n">
        <v>46202</v>
      </c>
      <c r="D249" t="inlineStr">
        <is>
          <t>ÖSTERGÖTLANDS LÄN</t>
        </is>
      </c>
      <c r="E249" t="inlineStr">
        <is>
          <t>ÖDESHÖG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2026-06-29T00:54:35Z</dcterms:created>
  <dcterms:modified xmlns:dcterms="http://purl.org/dc/terms/" xmlns:xsi="http://www.w3.org/2001/XMLSchema-instance" xsi:type="dcterms:W3CDTF">2026-06-29T00:54:35Z</dcterms:modified>
</cp:coreProperties>
</file>