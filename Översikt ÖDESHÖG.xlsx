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46273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46273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46273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46273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46273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46273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46273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46273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58052-2021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46273</v>
      </c>
      <c r="F12" t="inlineStr">
        <is>
          <t>ÖSTERGÖTLANDS LÄN</t>
        </is>
      </c>
      <c r="G12" t="inlineStr">
        <is>
          <t>ÖDESHÖG</t>
        </is>
      </c>
      <c r="H12" t="inlineStr">
        <is>
          <t>Sveaskog</t>
        </is>
      </c>
      <c r="I12" t="n">
        <v>4.3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Granbarkgnagare</t>
        </is>
      </c>
      <c r="W12">
        <f>HYPERLINK("https://klasma.github.io/Logging_0509/artfynd/A 58052-2021 artfynd.xlsx", "A 58052-2021")</f>
        <v/>
      </c>
      <c r="X12">
        <f>HYPERLINK("https://klasma.github.io/Logging_0509/kartor/A 58052-2021 karta.png", "A 58052-2021")</f>
        <v/>
      </c>
      <c r="Y12">
        <f>HYPERLINK("https://klasma.github.io/Logging_0509/kartor_geotiff/A 58052-2021 georefererad karta.tif", "A 58052-2021")</f>
        <v/>
      </c>
      <c r="AA12">
        <f>HYPERLINK("https://klasma.github.io/Logging_0509/klagomål/A 58052-2021 FSC-klagomål.docx", "A 58052-2021")</f>
        <v/>
      </c>
      <c r="AB12">
        <f>HYPERLINK("https://klasma.github.io/Logging_0509/klagomålsmail/A 58052-2021 FSC-klagomål mail.docx", "A 58052-2021")</f>
        <v/>
      </c>
      <c r="AC12">
        <f>HYPERLINK("https://klasma.github.io/Logging_0509/tillsyn/A 58052-2021 tillsynsbegäran.docx", "A 58052-2021")</f>
        <v/>
      </c>
      <c r="AD12">
        <f>HYPERLINK("https://klasma.github.io/Logging_0509/tillsynsmail/A 58052-2021 tillsynsbegäran mail.docx", "A 58052-2021")</f>
        <v/>
      </c>
    </row>
    <row r="13" ht="15" customHeight="1">
      <c r="A13" t="inlineStr">
        <is>
          <t>A 58551-2023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45251</v>
      </c>
      <c r="E13" s="1" t="n">
        <v>46273</v>
      </c>
      <c r="F13" t="inlineStr">
        <is>
          <t>ÖSTERGÖTLANDS LÄN</t>
        </is>
      </c>
      <c r="G13" t="inlineStr">
        <is>
          <t>ÖDESHÖG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HYPERLINK("https://klasma.github.io/Logging_0509/artfynd/A 58551-2023 artfynd.xlsx", "A 58551-2023")</f>
        <v/>
      </c>
      <c r="X13">
        <f>HYPERLINK("https://klasma.github.io/Logging_0509/kartor/A 58551-2023 karta.png", "A 58551-2023")</f>
        <v/>
      </c>
      <c r="Y13">
        <f>HYPERLINK("https://klasma.github.io/Logging_0509/kartor_geotiff/A 58551-2023 georefererad karta.tif", "A 58551-2023")</f>
        <v/>
      </c>
      <c r="AA13">
        <f>HYPERLINK("https://klasma.github.io/Logging_0509/klagomål/A 58551-2023 FSC-klagomål.docx", "A 58551-2023")</f>
        <v/>
      </c>
      <c r="AB13">
        <f>HYPERLINK("https://klasma.github.io/Logging_0509/klagomålsmail/A 58551-2023 FSC-klagomål mail.docx", "A 58551-2023")</f>
        <v/>
      </c>
      <c r="AC13">
        <f>HYPERLINK("https://klasma.github.io/Logging_0509/tillsyn/A 58551-2023 tillsynsbegäran.docx", "A 58551-2023")</f>
        <v/>
      </c>
      <c r="AD13">
        <f>HYPERLINK("https://klasma.github.io/Logging_0509/tillsynsmail/A 58551-2023 tillsynsbegäran mail.docx", "A 58551-2023")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46273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56637-2023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45243</v>
      </c>
      <c r="E15" s="1" t="n">
        <v>46273</v>
      </c>
      <c r="F15" t="inlineStr">
        <is>
          <t>ÖSTERGÖTLANDS LÄN</t>
        </is>
      </c>
      <c r="G15" t="inlineStr">
        <is>
          <t>ÖDESHÖG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56637-2023 artfynd.xlsx", "A 56637-2023")</f>
        <v/>
      </c>
      <c r="X15">
        <f>HYPERLINK("https://klasma.github.io/Logging_0509/kartor/A 56637-2023 karta.png", "A 56637-2023")</f>
        <v/>
      </c>
      <c r="Y15">
        <f>HYPERLINK("https://klasma.github.io/Logging_0509/kartor_geotiff/A 56637-2023 georefererad karta.tif", "A 56637-2023")</f>
        <v/>
      </c>
      <c r="AA15">
        <f>HYPERLINK("https://klasma.github.io/Logging_0509/klagomål/A 56637-2023 FSC-klagomål.docx", "A 56637-2023")</f>
        <v/>
      </c>
      <c r="AB15">
        <f>HYPERLINK("https://klasma.github.io/Logging_0509/klagomålsmail/A 56637-2023 FSC-klagomål mail.docx", "A 56637-2023")</f>
        <v/>
      </c>
      <c r="AC15">
        <f>HYPERLINK("https://klasma.github.io/Logging_0509/tillsyn/A 56637-2023 tillsynsbegäran.docx", "A 56637-2023")</f>
        <v/>
      </c>
      <c r="AD15">
        <f>HYPERLINK("https://klasma.github.io/Logging_0509/tillsynsmail/A 56637-2023 tillsynsbegäran mail.docx", "A 56637-2023")</f>
        <v/>
      </c>
    </row>
    <row r="16" ht="15" customHeight="1">
      <c r="A16" t="inlineStr">
        <is>
          <t>A 50774-2023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46273</v>
      </c>
      <c r="F16" t="inlineStr">
        <is>
          <t>ÖSTERGÖTLANDS LÄN</t>
        </is>
      </c>
      <c r="G16" t="inlineStr">
        <is>
          <t>ÖDESHÖG</t>
        </is>
      </c>
      <c r="I16" t="n">
        <v>9.5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Mörk dunört</t>
        </is>
      </c>
      <c r="W16">
        <f>HYPERLINK("https://klasma.github.io/Logging_0509/artfynd/A 50774-2023 artfynd.xlsx", "A 50774-2023")</f>
        <v/>
      </c>
      <c r="X16">
        <f>HYPERLINK("https://klasma.github.io/Logging_0509/kartor/A 50774-2023 karta.png", "A 50774-2023")</f>
        <v/>
      </c>
      <c r="Y16">
        <f>HYPERLINK("https://klasma.github.io/Logging_0509/kartor_geotiff/A 50774-2023 georefererad karta.tif", "A 50774-2023")</f>
        <v/>
      </c>
      <c r="AA16">
        <f>HYPERLINK("https://klasma.github.io/Logging_0509/klagomål/A 50774-2023 FSC-klagomål.docx", "A 50774-2023")</f>
        <v/>
      </c>
      <c r="AB16">
        <f>HYPERLINK("https://klasma.github.io/Logging_0509/klagomålsmail/A 50774-2023 FSC-klagomål mail.docx", "A 50774-2023")</f>
        <v/>
      </c>
      <c r="AC16">
        <f>HYPERLINK("https://klasma.github.io/Logging_0509/tillsyn/A 50774-2023 tillsynsbegäran.docx", "A 50774-2023")</f>
        <v/>
      </c>
      <c r="AD16">
        <f>HYPERLINK("https://klasma.github.io/Logging_0509/tillsynsmail/A 50774-2023 tillsynsbegäran mail.docx", "A 50774-2023")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46273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32713-2024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45516</v>
      </c>
      <c r="E18" s="1" t="n">
        <v>46273</v>
      </c>
      <c r="F18" t="inlineStr">
        <is>
          <t>ÖSTERGÖTLANDS LÄN</t>
        </is>
      </c>
      <c r="G18" t="inlineStr">
        <is>
          <t>ÖDESHÖG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Kristinspindling</t>
        </is>
      </c>
      <c r="W18">
        <f>HYPERLINK("https://klasma.github.io/Logging_0509/artfynd/A 32713-2024 artfynd.xlsx", "A 32713-2024")</f>
        <v/>
      </c>
      <c r="X18">
        <f>HYPERLINK("https://klasma.github.io/Logging_0509/kartor/A 32713-2024 karta.png", "A 32713-2024")</f>
        <v/>
      </c>
      <c r="Y18">
        <f>HYPERLINK("https://klasma.github.io/Logging_0509/kartor_geotiff/A 32713-2024 georefererad karta.tif", "A 32713-2024")</f>
        <v/>
      </c>
      <c r="AA18">
        <f>HYPERLINK("https://klasma.github.io/Logging_0509/klagomål/A 32713-2024 FSC-klagomål.docx", "A 32713-2024")</f>
        <v/>
      </c>
      <c r="AB18">
        <f>HYPERLINK("https://klasma.github.io/Logging_0509/klagomålsmail/A 32713-2024 FSC-klagomål mail.docx", "A 32713-2024")</f>
        <v/>
      </c>
      <c r="AC18">
        <f>HYPERLINK("https://klasma.github.io/Logging_0509/tillsyn/A 32713-2024 tillsynsbegäran.docx", "A 32713-2024")</f>
        <v/>
      </c>
      <c r="AD18">
        <f>HYPERLINK("https://klasma.github.io/Logging_0509/tillsynsmail/A 32713-2024 tillsynsbegäran mail.docx", "A 32713-2024")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46273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46273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46273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46273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46273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46273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46273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46273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46273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46273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46273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46273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46273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46273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46273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46273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46273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46273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30389-2024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45491</v>
      </c>
      <c r="E37" s="1" t="n">
        <v>46273</v>
      </c>
      <c r="F37" t="inlineStr">
        <is>
          <t>ÖSTERGÖTLANDS LÄN</t>
        </is>
      </c>
      <c r="G37" t="inlineStr">
        <is>
          <t>ÖDESHÖG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54226-2021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46273</v>
      </c>
      <c r="F38" t="inlineStr">
        <is>
          <t>ÖSTERGÖTLANDS LÄN</t>
        </is>
      </c>
      <c r="G38" t="inlineStr">
        <is>
          <t>ÖDESHÖG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64802-2021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44512</v>
      </c>
      <c r="E39" s="1" t="n">
        <v>46273</v>
      </c>
      <c r="F39" t="inlineStr">
        <is>
          <t>ÖSTERGÖTLANDS LÄN</t>
        </is>
      </c>
      <c r="G39" t="inlineStr">
        <is>
          <t>ÖDESHÖG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48325-2022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44858</v>
      </c>
      <c r="E40" s="1" t="n">
        <v>46273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45337</v>
      </c>
      <c r="E41" s="1" t="n">
        <v>46273</v>
      </c>
      <c r="F41" t="inlineStr">
        <is>
          <t>ÖSTERGÖTLANDS LÄN</t>
        </is>
      </c>
      <c r="G41" t="inlineStr">
        <is>
          <t>ÖDESHÖG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47993-2024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46273</v>
      </c>
      <c r="F42" t="inlineStr">
        <is>
          <t>ÖSTERGÖTLANDS LÄN</t>
        </is>
      </c>
      <c r="G42" t="inlineStr">
        <is>
          <t>ÖDESHÖG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45342</v>
      </c>
      <c r="E43" s="1" t="n">
        <v>46273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35661-2024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45532</v>
      </c>
      <c r="E44" s="1" t="n">
        <v>46273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46273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46273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44936</v>
      </c>
      <c r="E47" s="1" t="n">
        <v>46273</v>
      </c>
      <c r="F47" t="inlineStr">
        <is>
          <t>ÖSTERGÖTLANDS LÄN</t>
        </is>
      </c>
      <c r="G47" t="inlineStr">
        <is>
          <t>ÖDESHÖG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46273</v>
      </c>
      <c r="F48" t="inlineStr">
        <is>
          <t>ÖSTERGÖTLANDS LÄN</t>
        </is>
      </c>
      <c r="G48" t="inlineStr">
        <is>
          <t>ÖDESHÖG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46273</v>
      </c>
      <c r="F49" t="inlineStr">
        <is>
          <t>ÖSTERGÖTLANDS LÄN</t>
        </is>
      </c>
      <c r="G49" t="inlineStr">
        <is>
          <t>ÖDESHÖG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46273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45491</v>
      </c>
      <c r="E51" s="1" t="n">
        <v>46273</v>
      </c>
      <c r="F51" t="inlineStr">
        <is>
          <t>ÖSTERGÖTLANDS LÄN</t>
        </is>
      </c>
      <c r="G51" t="inlineStr">
        <is>
          <t>ÖDESHÖG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45416</v>
      </c>
      <c r="E52" s="1" t="n">
        <v>46273</v>
      </c>
      <c r="F52" t="inlineStr">
        <is>
          <t>ÖSTERGÖTLANDS LÄN</t>
        </is>
      </c>
      <c r="G52" t="inlineStr">
        <is>
          <t>ÖDESHÖG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15907-2024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46273</v>
      </c>
      <c r="F53" t="inlineStr">
        <is>
          <t>ÖSTERGÖTLANDS LÄN</t>
        </is>
      </c>
      <c r="G53" t="inlineStr">
        <is>
          <t>ÖDESHÖG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15915-2024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45405</v>
      </c>
      <c r="E54" s="1" t="n">
        <v>46273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46273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45331</v>
      </c>
      <c r="E56" s="1" t="n">
        <v>46273</v>
      </c>
      <c r="F56" t="inlineStr">
        <is>
          <t>ÖSTERGÖTLANDS LÄN</t>
        </is>
      </c>
      <c r="G56" t="inlineStr">
        <is>
          <t>ÖDESHÖG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46273</v>
      </c>
      <c r="F57" t="inlineStr">
        <is>
          <t>ÖSTERGÖTLANDS LÄN</t>
        </is>
      </c>
      <c r="G57" t="inlineStr">
        <is>
          <t>ÖDESHÖG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45009</v>
      </c>
      <c r="E58" s="1" t="n">
        <v>46273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46273</v>
      </c>
      <c r="F59" t="inlineStr">
        <is>
          <t>ÖSTERGÖTLANDS LÄN</t>
        </is>
      </c>
      <c r="G59" t="inlineStr">
        <is>
          <t>ÖDESHÖG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8256-2023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44974</v>
      </c>
      <c r="E60" s="1" t="n">
        <v>46273</v>
      </c>
      <c r="F60" t="inlineStr">
        <is>
          <t>ÖSTERGÖTLANDS LÄN</t>
        </is>
      </c>
      <c r="G60" t="inlineStr">
        <is>
          <t>ÖDESHÖG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45069</v>
      </c>
      <c r="E61" s="1" t="n">
        <v>46273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14736-2024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45397</v>
      </c>
      <c r="E62" s="1" t="n">
        <v>46273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36099-2024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45533</v>
      </c>
      <c r="E63" s="1" t="n">
        <v>46273</v>
      </c>
      <c r="F63" t="inlineStr">
        <is>
          <t>ÖSTERGÖTLANDS LÄN</t>
        </is>
      </c>
      <c r="G63" t="inlineStr">
        <is>
          <t>ÖDESHÖG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14185-2023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45009</v>
      </c>
      <c r="E64" s="1" t="n">
        <v>46273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46273</v>
      </c>
      <c r="F65" t="inlineStr">
        <is>
          <t>ÖSTERGÖTLANDS LÄN</t>
        </is>
      </c>
      <c r="G65" t="inlineStr">
        <is>
          <t>ÖDESHÖG</t>
        </is>
      </c>
      <c r="H65" t="inlineStr">
        <is>
          <t>Allmännings- och besparingsskogar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46273</v>
      </c>
      <c r="F66" t="inlineStr">
        <is>
          <t>ÖSTERGÖTLANDS LÄN</t>
        </is>
      </c>
      <c r="G66" t="inlineStr">
        <is>
          <t>ÖDESHÖG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45049</v>
      </c>
      <c r="E67" s="1" t="n">
        <v>46273</v>
      </c>
      <c r="F67" t="inlineStr">
        <is>
          <t>ÖSTERGÖTLANDS LÄN</t>
        </is>
      </c>
      <c r="G67" t="inlineStr">
        <is>
          <t>ÖDESHÖG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11972-2023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46273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39024-2023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45163</v>
      </c>
      <c r="E69" s="1" t="n">
        <v>46273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45617</v>
      </c>
      <c r="E70" s="1" t="n">
        <v>46273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22.7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46273</v>
      </c>
      <c r="F71" t="inlineStr">
        <is>
          <t>ÖSTERGÖTLANDS LÄN</t>
        </is>
      </c>
      <c r="G71" t="inlineStr">
        <is>
          <t>ÖDESHÖG</t>
        </is>
      </c>
      <c r="H71" t="inlineStr">
        <is>
          <t>Allmännings- och besparingsskogar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41730-2025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46273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45015</v>
      </c>
      <c r="E73" s="1" t="n">
        <v>46273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63074-2025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46273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11280-2025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45726</v>
      </c>
      <c r="E75" s="1" t="n">
        <v>46273</v>
      </c>
      <c r="F75" t="inlineStr">
        <is>
          <t>ÖSTERGÖTLANDS LÄN</t>
        </is>
      </c>
      <c r="G75" t="inlineStr">
        <is>
          <t>ÖDESHÖG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46024</v>
      </c>
      <c r="E76" s="1" t="n">
        <v>46273</v>
      </c>
      <c r="F76" t="inlineStr">
        <is>
          <t>ÖSTERGÖTLANDS LÄN</t>
        </is>
      </c>
      <c r="G76" t="inlineStr">
        <is>
          <t>ÖDESHÖG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45707</v>
      </c>
      <c r="E77" s="1" t="n">
        <v>46273</v>
      </c>
      <c r="F77" t="inlineStr">
        <is>
          <t>ÖSTERGÖTLANDS LÄN</t>
        </is>
      </c>
      <c r="G77" t="inlineStr">
        <is>
          <t>ÖDESHÖG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45692</v>
      </c>
      <c r="E78" s="1" t="n">
        <v>46273</v>
      </c>
      <c r="F78" t="inlineStr">
        <is>
          <t>ÖSTERGÖTLANDS LÄN</t>
        </is>
      </c>
      <c r="G78" t="inlineStr">
        <is>
          <t>ÖDESHÖG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46273</v>
      </c>
      <c r="F79" t="inlineStr">
        <is>
          <t>ÖSTERGÖTLANDS LÄN</t>
        </is>
      </c>
      <c r="G79" t="inlineStr">
        <is>
          <t>ÖDESHÖG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44613</v>
      </c>
      <c r="E80" s="1" t="n">
        <v>46273</v>
      </c>
      <c r="F80" t="inlineStr">
        <is>
          <t>ÖSTERGÖTLANDS LÄN</t>
        </is>
      </c>
      <c r="G80" t="inlineStr">
        <is>
          <t>ÖDESHÖG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46273</v>
      </c>
      <c r="F81" t="inlineStr">
        <is>
          <t>ÖSTERGÖTLANDS LÄN</t>
        </is>
      </c>
      <c r="G81" t="inlineStr">
        <is>
          <t>ÖDESHÖG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45678</v>
      </c>
      <c r="E82" s="1" t="n">
        <v>46273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46059-2025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46273</v>
      </c>
      <c r="F83" t="inlineStr">
        <is>
          <t>ÖSTERGÖTLANDS LÄN</t>
        </is>
      </c>
      <c r="G83" t="inlineStr">
        <is>
          <t>ÖDESHÖG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46273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46273</v>
      </c>
      <c r="F85" t="inlineStr">
        <is>
          <t>ÖSTERGÖTLANDS LÄN</t>
        </is>
      </c>
      <c r="G85" t="inlineStr">
        <is>
          <t>ÖDESHÖG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46273</v>
      </c>
      <c r="F86" t="inlineStr">
        <is>
          <t>ÖSTERGÖTLANDS LÄN</t>
        </is>
      </c>
      <c r="G86" t="inlineStr">
        <is>
          <t>ÖDESHÖG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45240</v>
      </c>
      <c r="E87" s="1" t="n">
        <v>46273</v>
      </c>
      <c r="F87" t="inlineStr">
        <is>
          <t>ÖSTERGÖTLANDS LÄN</t>
        </is>
      </c>
      <c r="G87" t="inlineStr">
        <is>
          <t>ÖDESHÖG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46273</v>
      </c>
      <c r="F88" t="inlineStr">
        <is>
          <t>ÖSTERGÖTLANDS LÄN</t>
        </is>
      </c>
      <c r="G88" t="inlineStr">
        <is>
          <t>ÖDESHÖG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45027</v>
      </c>
      <c r="E89" s="1" t="n">
        <v>46273</v>
      </c>
      <c r="F89" t="inlineStr">
        <is>
          <t>ÖSTERGÖTLANDS LÄN</t>
        </is>
      </c>
      <c r="G89" t="inlineStr">
        <is>
          <t>ÖDESHÖG</t>
        </is>
      </c>
      <c r="H89" t="inlineStr">
        <is>
          <t>Allmännings- och besparingsskogar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46999-2025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45929</v>
      </c>
      <c r="E90" s="1" t="n">
        <v>46273</v>
      </c>
      <c r="F90" t="inlineStr">
        <is>
          <t>ÖSTERGÖTLANDS LÄN</t>
        </is>
      </c>
      <c r="G90" t="inlineStr">
        <is>
          <t>ÖDESHÖG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46273</v>
      </c>
      <c r="F91" t="inlineStr">
        <is>
          <t>ÖSTERGÖTLANDS LÄN</t>
        </is>
      </c>
      <c r="G91" t="inlineStr">
        <is>
          <t>ÖDESHÖG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46273</v>
      </c>
      <c r="F92" t="inlineStr">
        <is>
          <t>ÖSTERGÖTLANDS LÄN</t>
        </is>
      </c>
      <c r="G92" t="inlineStr">
        <is>
          <t>ÖDESHÖG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46273</v>
      </c>
      <c r="F93" t="inlineStr">
        <is>
          <t>ÖSTERGÖTLANDS LÄN</t>
        </is>
      </c>
      <c r="G93" t="inlineStr">
        <is>
          <t>ÖDESHÖG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46273</v>
      </c>
      <c r="F94" t="inlineStr">
        <is>
          <t>ÖSTERGÖTLANDS LÄN</t>
        </is>
      </c>
      <c r="G94" t="inlineStr">
        <is>
          <t>ÖDESHÖG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46273</v>
      </c>
      <c r="F95" t="inlineStr">
        <is>
          <t>ÖSTERGÖTLANDS LÄN</t>
        </is>
      </c>
      <c r="G95" t="inlineStr">
        <is>
          <t>ÖDESHÖG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45113</v>
      </c>
      <c r="E96" s="1" t="n">
        <v>46273</v>
      </c>
      <c r="F96" t="inlineStr">
        <is>
          <t>ÖSTERGÖTLANDS LÄN</t>
        </is>
      </c>
      <c r="G96" t="inlineStr">
        <is>
          <t>ÖDESHÖG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45944</v>
      </c>
      <c r="E97" s="1" t="n">
        <v>46273</v>
      </c>
      <c r="F97" t="inlineStr">
        <is>
          <t>ÖSTERGÖTLANDS LÄN</t>
        </is>
      </c>
      <c r="G97" t="inlineStr">
        <is>
          <t>ÖDESHÖG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46273</v>
      </c>
      <c r="F98" t="inlineStr">
        <is>
          <t>ÖSTERGÖTLANDS LÄN</t>
        </is>
      </c>
      <c r="G98" t="inlineStr">
        <is>
          <t>ÖDESHÖG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45065</v>
      </c>
      <c r="E99" s="1" t="n">
        <v>46273</v>
      </c>
      <c r="F99" t="inlineStr">
        <is>
          <t>ÖSTERGÖTLANDS LÄN</t>
        </is>
      </c>
      <c r="G99" t="inlineStr">
        <is>
          <t>ÖDESHÖG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46273</v>
      </c>
      <c r="F100" t="inlineStr">
        <is>
          <t>ÖSTERGÖTLANDS LÄN</t>
        </is>
      </c>
      <c r="G100" t="inlineStr">
        <is>
          <t>ÖDESHÖG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46273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46273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46273</v>
      </c>
      <c r="F103" t="inlineStr">
        <is>
          <t>ÖSTERGÖTLANDS LÄN</t>
        </is>
      </c>
      <c r="G103" t="inlineStr">
        <is>
          <t>ÖDESHÖG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61011-2024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45645</v>
      </c>
      <c r="E104" s="1" t="n">
        <v>46273</v>
      </c>
      <c r="F104" t="inlineStr">
        <is>
          <t>ÖSTERGÖTLANDS LÄN</t>
        </is>
      </c>
      <c r="G104" t="inlineStr">
        <is>
          <t>ÖDESHÖG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46273</v>
      </c>
      <c r="F105" t="inlineStr">
        <is>
          <t>ÖSTERGÖTLANDS LÄN</t>
        </is>
      </c>
      <c r="G105" t="inlineStr">
        <is>
          <t>ÖDESHÖG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45707</v>
      </c>
      <c r="E106" s="1" t="n">
        <v>46273</v>
      </c>
      <c r="F106" t="inlineStr">
        <is>
          <t>ÖSTERGÖTLANDS LÄN</t>
        </is>
      </c>
      <c r="G106" t="inlineStr">
        <is>
          <t>ÖDESHÖG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32464-2025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45838</v>
      </c>
      <c r="E107" s="1" t="n">
        <v>46273</v>
      </c>
      <c r="F107" t="inlineStr">
        <is>
          <t>ÖSTERGÖTLANDS LÄN</t>
        </is>
      </c>
      <c r="G107" t="inlineStr">
        <is>
          <t>ÖDESHÖG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45065</v>
      </c>
      <c r="E108" s="1" t="n">
        <v>46273</v>
      </c>
      <c r="F108" t="inlineStr">
        <is>
          <t>ÖSTERGÖTLANDS LÄN</t>
        </is>
      </c>
      <c r="G108" t="inlineStr">
        <is>
          <t>ÖDESHÖG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45776</v>
      </c>
      <c r="E109" s="1" t="n">
        <v>46273</v>
      </c>
      <c r="F109" t="inlineStr">
        <is>
          <t>ÖSTERGÖTLANDS LÄN</t>
        </is>
      </c>
      <c r="G109" t="inlineStr">
        <is>
          <t>ÖDESHÖG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46273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45145</v>
      </c>
      <c r="E111" s="1" t="n">
        <v>46273</v>
      </c>
      <c r="F111" t="inlineStr">
        <is>
          <t>ÖSTERGÖTLANDS LÄN</t>
        </is>
      </c>
      <c r="G111" t="inlineStr">
        <is>
          <t>ÖDESHÖG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46273</v>
      </c>
      <c r="F112" t="inlineStr">
        <is>
          <t>ÖSTERGÖTLANDS LÄN</t>
        </is>
      </c>
      <c r="G112" t="inlineStr">
        <is>
          <t>ÖDESHÖG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46273</v>
      </c>
      <c r="F113" t="inlineStr">
        <is>
          <t>ÖSTERGÖTLANDS LÄN</t>
        </is>
      </c>
      <c r="G113" t="inlineStr">
        <is>
          <t>ÖDESHÖG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46273</v>
      </c>
      <c r="F114" t="inlineStr">
        <is>
          <t>ÖSTERGÖTLANDS LÄN</t>
        </is>
      </c>
      <c r="G114" t="inlineStr">
        <is>
          <t>ÖDESHÖG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45145</v>
      </c>
      <c r="E115" s="1" t="n">
        <v>46273</v>
      </c>
      <c r="F115" t="inlineStr">
        <is>
          <t>ÖSTERGÖTLANDS LÄN</t>
        </is>
      </c>
      <c r="G115" t="inlineStr">
        <is>
          <t>ÖDESHÖG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45335</v>
      </c>
      <c r="E116" s="1" t="n">
        <v>46273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61880-2021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46273</v>
      </c>
      <c r="F117" t="inlineStr">
        <is>
          <t>ÖSTERGÖTLANDS LÄN</t>
        </is>
      </c>
      <c r="G117" t="inlineStr">
        <is>
          <t>ÖDESHÖG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46178</v>
      </c>
      <c r="E118" s="1" t="n">
        <v>46273</v>
      </c>
      <c r="F118" t="inlineStr">
        <is>
          <t>ÖSTERGÖTLANDS LÄN</t>
        </is>
      </c>
      <c r="G118" t="inlineStr">
        <is>
          <t>ÖDESHÖG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25816-2026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46273</v>
      </c>
      <c r="F119" t="inlineStr">
        <is>
          <t>ÖSTERGÖTLANDS LÄN</t>
        </is>
      </c>
      <c r="G119" t="inlineStr">
        <is>
          <t>ÖDESHÖG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46178</v>
      </c>
      <c r="E120" s="1" t="n">
        <v>46273</v>
      </c>
      <c r="F120" t="inlineStr">
        <is>
          <t>ÖSTERGÖTLANDS LÄN</t>
        </is>
      </c>
      <c r="G120" t="inlineStr">
        <is>
          <t>ÖDESHÖG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25975-2026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46273</v>
      </c>
      <c r="F121" t="inlineStr">
        <is>
          <t>ÖSTERGÖTLANDS LÄN</t>
        </is>
      </c>
      <c r="G121" t="inlineStr">
        <is>
          <t>ÖDESHÖG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46273</v>
      </c>
      <c r="F122" t="inlineStr">
        <is>
          <t>ÖSTERGÖTLANDS LÄN</t>
        </is>
      </c>
      <c r="G122" t="inlineStr">
        <is>
          <t>ÖDESHÖG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46184</v>
      </c>
      <c r="E123" s="1" t="n">
        <v>46273</v>
      </c>
      <c r="F123" t="inlineStr">
        <is>
          <t>ÖSTERGÖTLANDS LÄN</t>
        </is>
      </c>
      <c r="G123" t="inlineStr">
        <is>
          <t>ÖDESHÖG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27292-2026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46184</v>
      </c>
      <c r="E124" s="1" t="n">
        <v>46273</v>
      </c>
      <c r="F124" t="inlineStr">
        <is>
          <t>ÖSTERGÖTLANDS LÄN</t>
        </is>
      </c>
      <c r="G124" t="inlineStr">
        <is>
          <t>ÖDESHÖG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45471</v>
      </c>
      <c r="E125" s="1" t="n">
        <v>46273</v>
      </c>
      <c r="F125" t="inlineStr">
        <is>
          <t>ÖSTERGÖTLANDS LÄN</t>
        </is>
      </c>
      <c r="G125" t="inlineStr">
        <is>
          <t>ÖDESHÖG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45553</v>
      </c>
      <c r="E126" s="1" t="n">
        <v>46273</v>
      </c>
      <c r="F126" t="inlineStr">
        <is>
          <t>ÖSTERGÖTLANDS LÄN</t>
        </is>
      </c>
      <c r="G126" t="inlineStr">
        <is>
          <t>ÖDESHÖG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46273</v>
      </c>
      <c r="F127" t="inlineStr">
        <is>
          <t>ÖSTERGÖTLANDS LÄN</t>
        </is>
      </c>
      <c r="G127" t="inlineStr">
        <is>
          <t>ÖDESHÖG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46273</v>
      </c>
      <c r="F128" t="inlineStr">
        <is>
          <t>ÖSTERGÖTLANDS LÄN</t>
        </is>
      </c>
      <c r="G128" t="inlineStr">
        <is>
          <t>ÖDESHÖG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46273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46273</v>
      </c>
      <c r="F130" t="inlineStr">
        <is>
          <t>ÖSTERGÖTLANDS LÄN</t>
        </is>
      </c>
      <c r="G130" t="inlineStr">
        <is>
          <t>ÖDESHÖG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46273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46273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46273</v>
      </c>
      <c r="F133" t="inlineStr">
        <is>
          <t>ÖSTERGÖTLANDS LÄN</t>
        </is>
      </c>
      <c r="G133" t="inlineStr">
        <is>
          <t>ÖDESHÖG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46273</v>
      </c>
      <c r="F134" t="inlineStr">
        <is>
          <t>ÖSTERGÖTLANDS LÄN</t>
        </is>
      </c>
      <c r="G134" t="inlineStr">
        <is>
          <t>ÖDESHÖG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46273</v>
      </c>
      <c r="F135" t="inlineStr">
        <is>
          <t>ÖSTERGÖTLANDS LÄN</t>
        </is>
      </c>
      <c r="G135" t="inlineStr">
        <is>
          <t>ÖDESHÖG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46273</v>
      </c>
      <c r="F136" t="inlineStr">
        <is>
          <t>ÖSTERGÖTLANDS LÄN</t>
        </is>
      </c>
      <c r="G136" t="inlineStr">
        <is>
          <t>ÖDESHÖG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15909-2024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45405</v>
      </c>
      <c r="E137" s="1" t="n">
        <v>46273</v>
      </c>
      <c r="F137" t="inlineStr">
        <is>
          <t>ÖSTERGÖTLANDS LÄN</t>
        </is>
      </c>
      <c r="G137" t="inlineStr">
        <is>
          <t>ÖDESHÖG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46273</v>
      </c>
      <c r="F138" t="inlineStr">
        <is>
          <t>ÖSTERGÖTLANDS LÄN</t>
        </is>
      </c>
      <c r="G138" t="inlineStr">
        <is>
          <t>ÖDESHÖG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46003</v>
      </c>
      <c r="E139" s="1" t="n">
        <v>46273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46273</v>
      </c>
      <c r="F140" t="inlineStr">
        <is>
          <t>ÖSTERGÖTLANDS LÄN</t>
        </is>
      </c>
      <c r="G140" t="inlineStr">
        <is>
          <t>ÖDESHÖG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62801-2025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46008</v>
      </c>
      <c r="E141" s="1" t="n">
        <v>46273</v>
      </c>
      <c r="F141" t="inlineStr">
        <is>
          <t>ÖSTERGÖTLANDS LÄN</t>
        </is>
      </c>
      <c r="G141" t="inlineStr">
        <is>
          <t>ÖDESHÖG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46007</v>
      </c>
      <c r="E142" s="1" t="n">
        <v>46273</v>
      </c>
      <c r="F142" t="inlineStr">
        <is>
          <t>ÖSTERGÖTLANDS LÄN</t>
        </is>
      </c>
      <c r="G142" t="inlineStr">
        <is>
          <t>ÖDESHÖG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45512</v>
      </c>
      <c r="E143" s="1" t="n">
        <v>46273</v>
      </c>
      <c r="F143" t="inlineStr">
        <is>
          <t>ÖSTERGÖTLANDS LÄN</t>
        </is>
      </c>
      <c r="G143" t="inlineStr">
        <is>
          <t>ÖDESHÖG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46273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46273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15.4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46273</v>
      </c>
      <c r="F146" t="inlineStr">
        <is>
          <t>ÖSTERGÖTLANDS LÄN</t>
        </is>
      </c>
      <c r="G146" t="inlineStr">
        <is>
          <t>ÖDESHÖG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46273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46273</v>
      </c>
      <c r="F148" t="inlineStr">
        <is>
          <t>ÖSTERGÖTLANDS LÄN</t>
        </is>
      </c>
      <c r="G148" t="inlineStr">
        <is>
          <t>ÖDESHÖG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46273</v>
      </c>
      <c r="F149" t="inlineStr">
        <is>
          <t>ÖSTERGÖTLANDS LÄN</t>
        </is>
      </c>
      <c r="G149" t="inlineStr">
        <is>
          <t>ÖDESHÖG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46273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46273</v>
      </c>
      <c r="F151" t="inlineStr">
        <is>
          <t>ÖSTERGÖTLANDS LÄN</t>
        </is>
      </c>
      <c r="G151" t="inlineStr">
        <is>
          <t>ÖDESHÖG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46273</v>
      </c>
      <c r="F152" t="inlineStr">
        <is>
          <t>ÖSTERGÖTLANDS LÄN</t>
        </is>
      </c>
      <c r="G152" t="inlineStr">
        <is>
          <t>ÖDESHÖG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46273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46273</v>
      </c>
      <c r="F154" t="inlineStr">
        <is>
          <t>ÖSTERGÖTLANDS LÄN</t>
        </is>
      </c>
      <c r="G154" t="inlineStr">
        <is>
          <t>ÖDESHÖG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39190-2023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45166</v>
      </c>
      <c r="E155" s="1" t="n">
        <v>46273</v>
      </c>
      <c r="F155" t="inlineStr">
        <is>
          <t>ÖSTERGÖTLANDS LÄN</t>
        </is>
      </c>
      <c r="G155" t="inlineStr">
        <is>
          <t>ÖDESHÖG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46199</v>
      </c>
      <c r="E156" s="1" t="n">
        <v>46273</v>
      </c>
      <c r="F156" t="inlineStr">
        <is>
          <t>ÖSTERGÖTLANDS LÄN</t>
        </is>
      </c>
      <c r="G156" t="inlineStr">
        <is>
          <t>ÖDESHÖG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45027</v>
      </c>
      <c r="E157" s="1" t="n">
        <v>46273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46273</v>
      </c>
      <c r="F158" t="inlineStr">
        <is>
          <t>ÖSTERGÖTLANDS LÄN</t>
        </is>
      </c>
      <c r="G158" t="inlineStr">
        <is>
          <t>ÖDESHÖG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28704-2026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46273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46273</v>
      </c>
      <c r="F160" t="inlineStr">
        <is>
          <t>ÖSTERGÖTLANDS LÄN</t>
        </is>
      </c>
      <c r="G160" t="inlineStr">
        <is>
          <t>ÖDESHÖG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28718-2026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46273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46273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46273</v>
      </c>
      <c r="F163" t="inlineStr">
        <is>
          <t>ÖSTERGÖTLANDS LÄN</t>
        </is>
      </c>
      <c r="G163" t="inlineStr">
        <is>
          <t>ÖDESHÖG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46273</v>
      </c>
      <c r="F164" t="inlineStr">
        <is>
          <t>ÖSTERGÖTLANDS LÄN</t>
        </is>
      </c>
      <c r="G164" t="inlineStr">
        <is>
          <t>ÖDESHÖG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46273</v>
      </c>
      <c r="F165" t="inlineStr">
        <is>
          <t>ÖSTERGÖTLANDS LÄN</t>
        </is>
      </c>
      <c r="G165" t="inlineStr">
        <is>
          <t>ÖDESHÖG</t>
        </is>
      </c>
      <c r="I165" t="n">
        <v>13.4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46273</v>
      </c>
      <c r="F166" t="inlineStr">
        <is>
          <t>ÖSTERGÖTLANDS LÄN</t>
        </is>
      </c>
      <c r="G166" t="inlineStr">
        <is>
          <t>ÖDESHÖG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43263-2023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45183</v>
      </c>
      <c r="E167" s="1" t="n">
        <v>46273</v>
      </c>
      <c r="F167" t="inlineStr">
        <is>
          <t>ÖSTERGÖTLANDS LÄN</t>
        </is>
      </c>
      <c r="G167" t="inlineStr">
        <is>
          <t>ÖDESHÖG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44698</v>
      </c>
      <c r="E168" s="1" t="n">
        <v>46273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9.5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44700</v>
      </c>
      <c r="E169" s="1" t="n">
        <v>46273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46273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Sveaskog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46273</v>
      </c>
      <c r="F171" t="inlineStr">
        <is>
          <t>ÖSTERGÖTLANDS LÄN</t>
        </is>
      </c>
      <c r="G171" t="inlineStr">
        <is>
          <t>ÖDESHÖG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46273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46273</v>
      </c>
      <c r="F173" t="inlineStr">
        <is>
          <t>ÖSTERGÖTLANDS LÄN</t>
        </is>
      </c>
      <c r="G173" t="inlineStr">
        <is>
          <t>ÖDESHÖG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46273</v>
      </c>
      <c r="F174" t="inlineStr">
        <is>
          <t>ÖSTERGÖTLANDS LÄN</t>
        </is>
      </c>
      <c r="G174" t="inlineStr">
        <is>
          <t>ÖDESHÖG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46273</v>
      </c>
      <c r="F175" t="inlineStr">
        <is>
          <t>ÖSTERGÖTLANDS LÄN</t>
        </is>
      </c>
      <c r="G175" t="inlineStr">
        <is>
          <t>ÖDESHÖG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46273</v>
      </c>
      <c r="F176" t="inlineStr">
        <is>
          <t>ÖSTERGÖTLANDS LÄN</t>
        </is>
      </c>
      <c r="G176" t="inlineStr">
        <is>
          <t>ÖDESHÖG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46273</v>
      </c>
      <c r="F177" t="inlineStr">
        <is>
          <t>ÖSTERGÖTLANDS LÄN</t>
        </is>
      </c>
      <c r="G177" t="inlineStr">
        <is>
          <t>ÖDESHÖG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46273</v>
      </c>
      <c r="F178" t="inlineStr">
        <is>
          <t>ÖSTERGÖTLANDS LÄN</t>
        </is>
      </c>
      <c r="G178" t="inlineStr">
        <is>
          <t>ÖDESHÖG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46101</v>
      </c>
      <c r="E179" s="1" t="n">
        <v>46273</v>
      </c>
      <c r="F179" t="inlineStr">
        <is>
          <t>ÖSTERGÖTLANDS LÄN</t>
        </is>
      </c>
      <c r="G179" t="inlineStr">
        <is>
          <t>ÖDESHÖG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44938</v>
      </c>
      <c r="E180" s="1" t="n">
        <v>46273</v>
      </c>
      <c r="F180" t="inlineStr">
        <is>
          <t>ÖSTERGÖTLANDS LÄN</t>
        </is>
      </c>
      <c r="G180" t="inlineStr">
        <is>
          <t>ÖDESHÖG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34961-2022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46273</v>
      </c>
      <c r="F181" t="inlineStr">
        <is>
          <t>ÖSTERGÖTLANDS LÄN</t>
        </is>
      </c>
      <c r="G181" t="inlineStr">
        <is>
          <t>ÖDESHÖG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45944</v>
      </c>
      <c r="E182" s="1" t="n">
        <v>46273</v>
      </c>
      <c r="F182" t="inlineStr">
        <is>
          <t>ÖSTERGÖTLANDS LÄN</t>
        </is>
      </c>
      <c r="G182" t="inlineStr">
        <is>
          <t>ÖDESHÖG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19157-2023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45048</v>
      </c>
      <c r="E183" s="1" t="n">
        <v>46273</v>
      </c>
      <c r="F183" t="inlineStr">
        <is>
          <t>ÖSTERGÖTLANDS LÄN</t>
        </is>
      </c>
      <c r="G183" t="inlineStr">
        <is>
          <t>ÖDESHÖG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46273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16402-2026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46273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46273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46273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46220</v>
      </c>
      <c r="E188" s="1" t="n">
        <v>46273</v>
      </c>
      <c r="F188" t="inlineStr">
        <is>
          <t>ÖSTERGÖTLANDS LÄN</t>
        </is>
      </c>
      <c r="G188" t="inlineStr">
        <is>
          <t>ÖDESHÖG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45163</v>
      </c>
      <c r="E189" s="1" t="n">
        <v>46273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46109</v>
      </c>
      <c r="E190" s="1" t="n">
        <v>46273</v>
      </c>
      <c r="F190" t="inlineStr">
        <is>
          <t>ÖSTERGÖTLANDS LÄN</t>
        </is>
      </c>
      <c r="G190" t="inlineStr">
        <is>
          <t>ÖDESHÖG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46109</v>
      </c>
      <c r="E191" s="1" t="n">
        <v>46273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17126-2024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46273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46122</v>
      </c>
      <c r="E193" s="1" t="n">
        <v>46273</v>
      </c>
      <c r="F193" t="inlineStr">
        <is>
          <t>ÖSTERGÖTLANDS LÄN</t>
        </is>
      </c>
      <c r="G193" t="inlineStr">
        <is>
          <t>ÖDESHÖG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46272</v>
      </c>
      <c r="E194" s="1" t="n">
        <v>46273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11193-2023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44992</v>
      </c>
      <c r="E195" s="1" t="n">
        <v>46273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45163</v>
      </c>
      <c r="E196" s="1" t="n">
        <v>46273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46273</v>
      </c>
      <c r="F197" t="inlineStr">
        <is>
          <t>ÖSTERGÖTLANDS LÄN</t>
        </is>
      </c>
      <c r="G197" t="inlineStr">
        <is>
          <t>ÖDESHÖG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45699</v>
      </c>
      <c r="E198" s="1" t="n">
        <v>46273</v>
      </c>
      <c r="F198" t="inlineStr">
        <is>
          <t>ÖSTERGÖTLANDS LÄN</t>
        </is>
      </c>
      <c r="G198" t="inlineStr">
        <is>
          <t>ÖDESHÖG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44999</v>
      </c>
      <c r="E199" s="1" t="n">
        <v>46273</v>
      </c>
      <c r="F199" t="inlineStr">
        <is>
          <t>ÖSTERGÖTLANDS LÄN</t>
        </is>
      </c>
      <c r="G199" t="inlineStr">
        <is>
          <t>ÖDESHÖG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46273</v>
      </c>
      <c r="F200" t="inlineStr">
        <is>
          <t>ÖSTERGÖTLANDS LÄN</t>
        </is>
      </c>
      <c r="G200" t="inlineStr">
        <is>
          <t>ÖDESHÖG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44658</v>
      </c>
      <c r="E201" s="1" t="n">
        <v>46273</v>
      </c>
      <c r="F201" t="inlineStr">
        <is>
          <t>ÖSTERGÖTLANDS LÄN</t>
        </is>
      </c>
      <c r="G201" t="inlineStr">
        <is>
          <t>ÖDESHÖG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46273</v>
      </c>
      <c r="F202" t="inlineStr">
        <is>
          <t>ÖSTERGÖTLANDS LÄN</t>
        </is>
      </c>
      <c r="G202" t="inlineStr">
        <is>
          <t>ÖDESHÖG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46273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72603-2021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44546</v>
      </c>
      <c r="E204" s="1" t="n">
        <v>46273</v>
      </c>
      <c r="F204" t="inlineStr">
        <is>
          <t>ÖSTERGÖTLANDS LÄN</t>
        </is>
      </c>
      <c r="G204" t="inlineStr">
        <is>
          <t>ÖDESHÖG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46273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46273</v>
      </c>
      <c r="F206" t="inlineStr">
        <is>
          <t>ÖSTERGÖTLANDS LÄN</t>
        </is>
      </c>
      <c r="G206" t="inlineStr">
        <is>
          <t>ÖDESHÖG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46273</v>
      </c>
      <c r="F207" t="inlineStr">
        <is>
          <t>ÖSTERGÖTLANDS LÄN</t>
        </is>
      </c>
      <c r="G207" t="inlineStr">
        <is>
          <t>ÖDESHÖG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46273</v>
      </c>
      <c r="F208" t="inlineStr">
        <is>
          <t>ÖSTERGÖTLANDS LÄN</t>
        </is>
      </c>
      <c r="G208" t="inlineStr">
        <is>
          <t>ÖDESHÖG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46273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46273</v>
      </c>
      <c r="F210" t="inlineStr">
        <is>
          <t>ÖSTERGÖTLANDS LÄN</t>
        </is>
      </c>
      <c r="G210" t="inlineStr">
        <is>
          <t>ÖDESHÖG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46273</v>
      </c>
      <c r="F211" t="inlineStr">
        <is>
          <t>ÖSTERGÖTLANDS LÄN</t>
        </is>
      </c>
      <c r="G211" t="inlineStr">
        <is>
          <t>ÖDESHÖG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46273</v>
      </c>
      <c r="F212" t="inlineStr">
        <is>
          <t>ÖSTERGÖTLANDS LÄN</t>
        </is>
      </c>
      <c r="G212" t="inlineStr">
        <is>
          <t>ÖDESHÖG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46273</v>
      </c>
      <c r="F213" t="inlineStr">
        <is>
          <t>ÖSTERGÖTLANDS LÄN</t>
        </is>
      </c>
      <c r="G213" t="inlineStr">
        <is>
          <t>ÖDESHÖG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46273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10335-2022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44623</v>
      </c>
      <c r="E215" s="1" t="n">
        <v>46273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46273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46273</v>
      </c>
      <c r="F217" t="inlineStr">
        <is>
          <t>ÖSTERGÖTLANDS LÄN</t>
        </is>
      </c>
      <c r="G217" t="inlineStr">
        <is>
          <t>ÖDESHÖG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15813-2022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44664</v>
      </c>
      <c r="E218" s="1" t="n">
        <v>46273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46273</v>
      </c>
      <c r="F219" t="inlineStr">
        <is>
          <t>ÖSTERGÖTLANDS LÄN</t>
        </is>
      </c>
      <c r="G219" t="inlineStr">
        <is>
          <t>ÖDESHÖG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45188</v>
      </c>
      <c r="E220" s="1" t="n">
        <v>46273</v>
      </c>
      <c r="F220" t="inlineStr">
        <is>
          <t>ÖSTERGÖTLANDS LÄN</t>
        </is>
      </c>
      <c r="G220" t="inlineStr">
        <is>
          <t>ÖDESHÖG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45316</v>
      </c>
      <c r="E221" s="1" t="n">
        <v>46273</v>
      </c>
      <c r="F221" t="inlineStr">
        <is>
          <t>ÖSTERGÖTLANDS LÄN</t>
        </is>
      </c>
      <c r="G221" t="inlineStr">
        <is>
          <t>ÖDESHÖG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45407</v>
      </c>
      <c r="E222" s="1" t="n">
        <v>46273</v>
      </c>
      <c r="F222" t="inlineStr">
        <is>
          <t>ÖSTERGÖTLANDS LÄN</t>
        </is>
      </c>
      <c r="G222" t="inlineStr">
        <is>
          <t>ÖDESHÖG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46273</v>
      </c>
      <c r="F223" t="inlineStr">
        <is>
          <t>ÖSTERGÖTLANDS LÄN</t>
        </is>
      </c>
      <c r="G223" t="inlineStr">
        <is>
          <t>ÖDESHÖG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45699</v>
      </c>
      <c r="E224" s="1" t="n">
        <v>46273</v>
      </c>
      <c r="F224" t="inlineStr">
        <is>
          <t>ÖSTERGÖTLANDS LÄN</t>
        </is>
      </c>
      <c r="G224" t="inlineStr">
        <is>
          <t>ÖDESHÖG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46273</v>
      </c>
      <c r="F225" t="inlineStr">
        <is>
          <t>ÖSTERGÖTLANDS LÄN</t>
        </is>
      </c>
      <c r="G225" t="inlineStr">
        <is>
          <t>ÖDESHÖG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45600</v>
      </c>
      <c r="E226" s="1" t="n">
        <v>46273</v>
      </c>
      <c r="F226" t="inlineStr">
        <is>
          <t>ÖSTERGÖTLANDS LÄN</t>
        </is>
      </c>
      <c r="G226" t="inlineStr">
        <is>
          <t>ÖDESHÖG</t>
        </is>
      </c>
      <c r="I226" t="n">
        <v>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45516</v>
      </c>
      <c r="E227" s="1" t="n">
        <v>46273</v>
      </c>
      <c r="F227" t="inlineStr">
        <is>
          <t>ÖSTERGÖTLANDS LÄN</t>
        </is>
      </c>
      <c r="G227" t="inlineStr">
        <is>
          <t>ÖDESHÖG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45161</v>
      </c>
      <c r="E228" s="1" t="n">
        <v>46273</v>
      </c>
      <c r="F228" t="inlineStr">
        <is>
          <t>ÖSTERGÖTLANDS LÄN</t>
        </is>
      </c>
      <c r="G228" t="inlineStr">
        <is>
          <t>ÖDESHÖG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46273</v>
      </c>
      <c r="F229" t="inlineStr">
        <is>
          <t>ÖSTERGÖTLANDS LÄN</t>
        </is>
      </c>
      <c r="G229" t="inlineStr">
        <is>
          <t>ÖDESHÖG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46273</v>
      </c>
      <c r="F230" t="inlineStr">
        <is>
          <t>ÖSTERGÖTLANDS LÄN</t>
        </is>
      </c>
      <c r="G230" t="inlineStr">
        <is>
          <t>ÖDESHÖG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45680</v>
      </c>
      <c r="E231" s="1" t="n">
        <v>46273</v>
      </c>
      <c r="F231" t="inlineStr">
        <is>
          <t>ÖSTERGÖTLANDS LÄN</t>
        </is>
      </c>
      <c r="G231" t="inlineStr">
        <is>
          <t>ÖDESHÖG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45217</v>
      </c>
      <c r="E232" s="1" t="n">
        <v>46273</v>
      </c>
      <c r="F232" t="inlineStr">
        <is>
          <t>ÖSTERGÖTLANDS LÄN</t>
        </is>
      </c>
      <c r="G232" t="inlineStr">
        <is>
          <t>ÖDESHÖG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46273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46273</v>
      </c>
      <c r="F234" t="inlineStr">
        <is>
          <t>ÖSTERGÖTLANDS LÄN</t>
        </is>
      </c>
      <c r="G234" t="inlineStr">
        <is>
          <t>ÖDESHÖG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46273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46273</v>
      </c>
      <c r="F236" t="inlineStr">
        <is>
          <t>ÖSTERGÖTLANDS LÄN</t>
        </is>
      </c>
      <c r="G236" t="inlineStr">
        <is>
          <t>ÖDESHÖG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46273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46273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2026-09-08T02:09:18Z</dcterms:created>
  <dcterms:modified xmlns:dcterms="http://purl.org/dc/terms/" xmlns:xsi="http://www.w3.org/2001/XMLSchema-instance" xsi:type="dcterms:W3CDTF">2026-09-08T02:09:18Z</dcterms:modified>
</cp:coreProperties>
</file>