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46299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4</v>
      </c>
      <c r="K3" t="n">
        <v>1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7</v>
      </c>
      <c r="T3" t="n">
        <v>13</v>
      </c>
      <c r="U3" t="n">
        <v>13</v>
      </c>
      <c r="V3" s="2" t="inlineStr">
        <is>
          <t>Knärot
Fjällig taggsvamp s.str.
Talltita
Vedtrappmossa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46299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46299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46299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46299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46299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46299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46299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46299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46299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46299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46299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46299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32713-2024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45516</v>
      </c>
      <c r="E16" s="1" t="n">
        <v>46299</v>
      </c>
      <c r="F16" t="inlineStr">
        <is>
          <t>ÖSTERGÖTLANDS LÄN</t>
        </is>
      </c>
      <c r="G16" t="inlineStr">
        <is>
          <t>ÖDESHÖG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Kristinspindling</t>
        </is>
      </c>
      <c r="W16">
        <f>HYPERLINK("https://klasma.github.io/Logging_0509/artfynd/A 32713-2024 artfynd.xlsx", "A 32713-2024")</f>
        <v/>
      </c>
      <c r="X16">
        <f>HYPERLINK("https://klasma.github.io/Logging_0509/kartor/A 32713-2024 karta.png", "A 32713-2024")</f>
        <v/>
      </c>
      <c r="Y16">
        <f>HYPERLINK("https://klasma.github.io/Logging_0509/kartor_geotiff/A 32713-2024 georefererad karta.tif", "A 32713-2024")</f>
        <v/>
      </c>
      <c r="AA16">
        <f>HYPERLINK("https://klasma.github.io/Logging_0509/klagomål/A 32713-2024 FSC-klagomål.docx", "A 32713-2024")</f>
        <v/>
      </c>
      <c r="AB16">
        <f>HYPERLINK("https://klasma.github.io/Logging_0509/klagomålsmail/A 32713-2024 FSC-klagomål mail.docx", "A 32713-2024")</f>
        <v/>
      </c>
      <c r="AC16">
        <f>HYPERLINK("https://klasma.github.io/Logging_0509/tillsyn/A 32713-2024 tillsynsbegäran.docx", "A 32713-2024")</f>
        <v/>
      </c>
      <c r="AD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46299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46299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46299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58052-2021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46299</v>
      </c>
      <c r="F20" t="inlineStr">
        <is>
          <t>ÖSTERGÖTLANDS LÄN</t>
        </is>
      </c>
      <c r="G20" t="inlineStr">
        <is>
          <t>ÖDESHÖG</t>
        </is>
      </c>
      <c r="H20" t="inlineStr">
        <is>
          <t>Sveaskog</t>
        </is>
      </c>
      <c r="I20" t="n">
        <v>4.3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Granbarkgnagare</t>
        </is>
      </c>
      <c r="W20">
        <f>HYPERLINK("https://klasma.github.io/Logging_0509/artfynd/A 58052-2021 artfynd.xlsx", "A 58052-2021")</f>
        <v/>
      </c>
      <c r="X20">
        <f>HYPERLINK("https://klasma.github.io/Logging_0509/kartor/A 58052-2021 karta.png", "A 58052-2021")</f>
        <v/>
      </c>
      <c r="Y20">
        <f>HYPERLINK("https://klasma.github.io/Logging_0509/kartor_geotiff/A 58052-2021 georefererad karta.tif", "A 58052-2021")</f>
        <v/>
      </c>
      <c r="AA20">
        <f>HYPERLINK("https://klasma.github.io/Logging_0509/klagomål/A 58052-2021 FSC-klagomål.docx", "A 58052-2021")</f>
        <v/>
      </c>
      <c r="AB20">
        <f>HYPERLINK("https://klasma.github.io/Logging_0509/klagomålsmail/A 58052-2021 FSC-klagomål mail.docx", "A 58052-2021")</f>
        <v/>
      </c>
      <c r="AC20">
        <f>HYPERLINK("https://klasma.github.io/Logging_0509/tillsyn/A 58052-2021 tillsynsbegäran.docx", "A 58052-2021")</f>
        <v/>
      </c>
      <c r="AD20">
        <f>HYPERLINK("https://klasma.github.io/Logging_0509/tillsynsmail/A 58052-2021 tillsynsbegäran mail.docx", "A 58052-2021")</f>
        <v/>
      </c>
    </row>
    <row r="21" ht="15" customHeight="1">
      <c r="A21" t="inlineStr">
        <is>
          <t>A 4772-2022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46299</v>
      </c>
      <c r="F21" t="inlineStr">
        <is>
          <t>ÖSTERGÖTLANDS LÄN</t>
        </is>
      </c>
      <c r="G21" t="inlineStr">
        <is>
          <t>ÖDESHÖG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HYPERLINK("https://klasma.github.io/Logging_0509/artfynd/A 4772-2022 artfynd.xlsx", "A 4772-2022")</f>
        <v/>
      </c>
      <c r="X21">
        <f>HYPERLINK("https://klasma.github.io/Logging_0509/kartor/A 4772-2022 karta.png", "A 4772-2022")</f>
        <v/>
      </c>
      <c r="Y21">
        <f>HYPERLINK("https://klasma.github.io/Logging_0509/kartor_geotiff/A 4772-2022 georefererad karta.tif", "A 4772-2022")</f>
        <v/>
      </c>
      <c r="AA21">
        <f>HYPERLINK("https://klasma.github.io/Logging_0509/klagomål/A 4772-2022 FSC-klagomål.docx", "A 4772-2022")</f>
        <v/>
      </c>
      <c r="AB21">
        <f>HYPERLINK("https://klasma.github.io/Logging_0509/klagomålsmail/A 4772-2022 FSC-klagomål mail.docx", "A 4772-2022")</f>
        <v/>
      </c>
      <c r="AC21">
        <f>HYPERLINK("https://klasma.github.io/Logging_0509/tillsyn/A 4772-2022 tillsynsbegäran.docx", "A 4772-2022")</f>
        <v/>
      </c>
      <c r="AD21">
        <f>HYPERLINK("https://klasma.github.io/Logging_0509/tillsynsmail/A 4772-2022 tillsynsbegäran mail.docx", "A 4772-2022")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46299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46299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46299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46299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46299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46299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46299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46299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46299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46299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46299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46299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46299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46299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46299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46299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46299</v>
      </c>
      <c r="F38" t="inlineStr">
        <is>
          <t>ÖSTERGÖTLANDS LÄN</t>
        </is>
      </c>
      <c r="G38" t="inlineStr">
        <is>
          <t>ÖDESHÖG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46299</v>
      </c>
      <c r="F39" t="inlineStr">
        <is>
          <t>ÖSTERGÖTLANDS LÄN</t>
        </is>
      </c>
      <c r="G39" t="inlineStr">
        <is>
          <t>ÖDESHÖG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46299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45316</v>
      </c>
      <c r="E41" s="1" t="n">
        <v>46299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46299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46299</v>
      </c>
      <c r="F43" t="inlineStr">
        <is>
          <t>ÖSTERGÖTLANDS LÄN</t>
        </is>
      </c>
      <c r="G43" t="inlineStr">
        <is>
          <t>ÖDESHÖG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44974</v>
      </c>
      <c r="E44" s="1" t="n">
        <v>46299</v>
      </c>
      <c r="F44" t="inlineStr">
        <is>
          <t>ÖSTERGÖTLANDS LÄN</t>
        </is>
      </c>
      <c r="G44" t="inlineStr">
        <is>
          <t>ÖDESHÖG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46299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46299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46299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46299</v>
      </c>
      <c r="F48" t="inlineStr">
        <is>
          <t>ÖSTERGÖTLANDS LÄN</t>
        </is>
      </c>
      <c r="G48" t="inlineStr">
        <is>
          <t>ÖDESHÖG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45680</v>
      </c>
      <c r="E49" s="1" t="n">
        <v>46299</v>
      </c>
      <c r="F49" t="inlineStr">
        <is>
          <t>ÖSTERGÖTLANDS LÄN</t>
        </is>
      </c>
      <c r="G49" t="inlineStr">
        <is>
          <t>ÖDESHÖG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15909-2024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45405</v>
      </c>
      <c r="E50" s="1" t="n">
        <v>46299</v>
      </c>
      <c r="F50" t="inlineStr">
        <is>
          <t>ÖSTERGÖTLANDS LÄN</t>
        </is>
      </c>
      <c r="G50" t="inlineStr">
        <is>
          <t>ÖDESHÖG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46299</v>
      </c>
      <c r="F51" t="inlineStr">
        <is>
          <t>ÖSTERGÖTLANDS LÄN</t>
        </is>
      </c>
      <c r="G51" t="inlineStr">
        <is>
          <t>ÖDESHÖG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61798-2025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46299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61972-2025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46003</v>
      </c>
      <c r="E53" s="1" t="n">
        <v>46299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61470-2025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46001</v>
      </c>
      <c r="E54" s="1" t="n">
        <v>46299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46299</v>
      </c>
      <c r="F55" t="inlineStr">
        <is>
          <t>ÖSTERGÖTLANDS LÄN</t>
        </is>
      </c>
      <c r="G55" t="inlineStr">
        <is>
          <t>ÖDESHÖG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50818-2023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46299</v>
      </c>
      <c r="F56" t="inlineStr">
        <is>
          <t>ÖSTERGÖTLANDS LÄN</t>
        </is>
      </c>
      <c r="G56" t="inlineStr">
        <is>
          <t>ÖDESHÖG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62482-2025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46007</v>
      </c>
      <c r="E57" s="1" t="n">
        <v>46299</v>
      </c>
      <c r="F57" t="inlineStr">
        <is>
          <t>ÖSTERGÖTLANDS LÄN</t>
        </is>
      </c>
      <c r="G57" t="inlineStr">
        <is>
          <t>ÖDESHÖG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62801-2025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46008</v>
      </c>
      <c r="E58" s="1" t="n">
        <v>46299</v>
      </c>
      <c r="F58" t="inlineStr">
        <is>
          <t>ÖSTERGÖTLANDS LÄN</t>
        </is>
      </c>
      <c r="G58" t="inlineStr">
        <is>
          <t>ÖDESHÖG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39032-2023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45163</v>
      </c>
      <c r="E59" s="1" t="n">
        <v>46299</v>
      </c>
      <c r="F59" t="inlineStr">
        <is>
          <t>ÖSTERGÖTLANDS LÄN</t>
        </is>
      </c>
      <c r="G59" t="inlineStr">
        <is>
          <t>ÖDESHÖG</t>
        </is>
      </c>
      <c r="H59" t="inlineStr">
        <is>
          <t>Allmännings- och besparingsskogar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46299</v>
      </c>
      <c r="F60" t="inlineStr">
        <is>
          <t>ÖSTERGÖTLANDS LÄN</t>
        </is>
      </c>
      <c r="G60" t="inlineStr">
        <is>
          <t>ÖDESHÖG</t>
        </is>
      </c>
      <c r="H60" t="inlineStr">
        <is>
          <t>Allmännings- och besparingsskogar</t>
        </is>
      </c>
      <c r="I60" t="n">
        <v>15.4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46021</v>
      </c>
      <c r="E61" s="1" t="n">
        <v>46299</v>
      </c>
      <c r="F61" t="inlineStr">
        <is>
          <t>ÖSTERGÖTLANDS LÄN</t>
        </is>
      </c>
      <c r="G61" t="inlineStr">
        <is>
          <t>ÖDESHÖG</t>
        </is>
      </c>
      <c r="H61" t="inlineStr">
        <is>
          <t>Allmännings- och besparingsskogar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46299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46299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46299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46299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46299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46299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45553</v>
      </c>
      <c r="E68" s="1" t="n">
        <v>46299</v>
      </c>
      <c r="F68" t="inlineStr">
        <is>
          <t>ÖSTERGÖTLANDS LÄN</t>
        </is>
      </c>
      <c r="G68" t="inlineStr">
        <is>
          <t>ÖDESHÖG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46034</v>
      </c>
      <c r="E69" s="1" t="n">
        <v>46299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46034</v>
      </c>
      <c r="E70" s="1" t="n">
        <v>46299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45580</v>
      </c>
      <c r="E71" s="1" t="n">
        <v>46299</v>
      </c>
      <c r="F71" t="inlineStr">
        <is>
          <t>ÖSTERGÖTLANDS LÄN</t>
        </is>
      </c>
      <c r="G71" t="inlineStr">
        <is>
          <t>ÖDESHÖG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46299</v>
      </c>
      <c r="F72" t="inlineStr">
        <is>
          <t>ÖSTERGÖTLANDS LÄN</t>
        </is>
      </c>
      <c r="G72" t="inlineStr">
        <is>
          <t>ÖDESHÖG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46299</v>
      </c>
      <c r="F73" t="inlineStr">
        <is>
          <t>ÖSTERGÖTLANDS LÄN</t>
        </is>
      </c>
      <c r="G73" t="inlineStr">
        <is>
          <t>ÖDESHÖG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46299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21336-2025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45782</v>
      </c>
      <c r="E75" s="1" t="n">
        <v>46299</v>
      </c>
      <c r="F75" t="inlineStr">
        <is>
          <t>ÖSTERGÖTLANDS LÄN</t>
        </is>
      </c>
      <c r="G75" t="inlineStr">
        <is>
          <t>ÖDESHÖG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46299</v>
      </c>
      <c r="F76" t="inlineStr">
        <is>
          <t>ÖSTERGÖTLANDS LÄN</t>
        </is>
      </c>
      <c r="G76" t="inlineStr">
        <is>
          <t>ÖDESHÖG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46299</v>
      </c>
      <c r="F77" t="inlineStr">
        <is>
          <t>ÖSTERGÖTLANDS LÄN</t>
        </is>
      </c>
      <c r="G77" t="inlineStr">
        <is>
          <t>ÖDESHÖG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46299</v>
      </c>
      <c r="F78" t="inlineStr">
        <is>
          <t>ÖSTERGÖTLANDS LÄN</t>
        </is>
      </c>
      <c r="G78" t="inlineStr">
        <is>
          <t>ÖDESHÖG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46299</v>
      </c>
      <c r="F79" t="inlineStr">
        <is>
          <t>ÖSTERGÖTLANDS LÄN</t>
        </is>
      </c>
      <c r="G79" t="inlineStr">
        <is>
          <t>ÖDESHÖG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46299</v>
      </c>
      <c r="F80" t="inlineStr">
        <is>
          <t>ÖSTERGÖTLANDS LÄN</t>
        </is>
      </c>
      <c r="G80" t="inlineStr">
        <is>
          <t>ÖDESHÖG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46999-2025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45929</v>
      </c>
      <c r="E81" s="1" t="n">
        <v>46299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46299</v>
      </c>
      <c r="F82" t="inlineStr">
        <is>
          <t>ÖSTERGÖTLANDS LÄN</t>
        </is>
      </c>
      <c r="G82" t="inlineStr">
        <is>
          <t>ÖDESHÖG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46299</v>
      </c>
      <c r="F83" t="inlineStr">
        <is>
          <t>ÖSTERGÖTLANDS LÄN</t>
        </is>
      </c>
      <c r="G83" t="inlineStr">
        <is>
          <t>ÖDESHÖG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46299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46299</v>
      </c>
      <c r="F85" t="inlineStr">
        <is>
          <t>ÖSTERGÖTLANDS LÄN</t>
        </is>
      </c>
      <c r="G85" t="inlineStr">
        <is>
          <t>ÖDESHÖG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45416</v>
      </c>
      <c r="E86" s="1" t="n">
        <v>46299</v>
      </c>
      <c r="F86" t="inlineStr">
        <is>
          <t>ÖSTERGÖTLANDS LÄN</t>
        </is>
      </c>
      <c r="G86" t="inlineStr">
        <is>
          <t>ÖDESHÖG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46299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47993-2024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46299</v>
      </c>
      <c r="F88" t="inlineStr">
        <is>
          <t>ÖSTERGÖTLANDS LÄN</t>
        </is>
      </c>
      <c r="G88" t="inlineStr">
        <is>
          <t>ÖDESHÖG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45693</v>
      </c>
      <c r="E89" s="1" t="n">
        <v>46299</v>
      </c>
      <c r="F89" t="inlineStr">
        <is>
          <t>ÖSTERGÖTLANDS LÄN</t>
        </is>
      </c>
      <c r="G89" t="inlineStr">
        <is>
          <t>ÖDESHÖG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8118-2026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46062</v>
      </c>
      <c r="E90" s="1" t="n">
        <v>46299</v>
      </c>
      <c r="F90" t="inlineStr">
        <is>
          <t>ÖSTERGÖTLANDS LÄN</t>
        </is>
      </c>
      <c r="G90" t="inlineStr">
        <is>
          <t>ÖDESHÖG</t>
        </is>
      </c>
      <c r="I90" t="n">
        <v>13.4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46299</v>
      </c>
      <c r="F91" t="inlineStr">
        <is>
          <t>ÖSTERGÖTLANDS LÄN</t>
        </is>
      </c>
      <c r="G91" t="inlineStr">
        <is>
          <t>ÖDESHÖG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45337</v>
      </c>
      <c r="E92" s="1" t="n">
        <v>46299</v>
      </c>
      <c r="F92" t="inlineStr">
        <is>
          <t>ÖSTERGÖTLANDS LÄN</t>
        </is>
      </c>
      <c r="G92" t="inlineStr">
        <is>
          <t>ÖDESHÖG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46299</v>
      </c>
      <c r="F93" t="inlineStr">
        <is>
          <t>ÖSTERGÖTLANDS LÄN</t>
        </is>
      </c>
      <c r="G93" t="inlineStr">
        <is>
          <t>ÖDESHÖG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46299</v>
      </c>
      <c r="F94" t="inlineStr">
        <is>
          <t>ÖSTERGÖTLANDS LÄN</t>
        </is>
      </c>
      <c r="G94" t="inlineStr">
        <is>
          <t>ÖDESHÖG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46299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46299</v>
      </c>
      <c r="F96" t="inlineStr">
        <is>
          <t>ÖSTERGÖTLANDS LÄN</t>
        </is>
      </c>
      <c r="G96" t="inlineStr">
        <is>
          <t>ÖDESHÖG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46299</v>
      </c>
      <c r="F97" t="inlineStr">
        <is>
          <t>ÖSTERGÖTLANDS LÄN</t>
        </is>
      </c>
      <c r="G97" t="inlineStr">
        <is>
          <t>ÖDESHÖG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46299</v>
      </c>
      <c r="F98" t="inlineStr">
        <is>
          <t>ÖSTERGÖTLANDS LÄN</t>
        </is>
      </c>
      <c r="G98" t="inlineStr">
        <is>
          <t>ÖDESHÖG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45407</v>
      </c>
      <c r="E99" s="1" t="n">
        <v>46299</v>
      </c>
      <c r="F99" t="inlineStr">
        <is>
          <t>ÖSTERGÖTLANDS LÄN</t>
        </is>
      </c>
      <c r="G99" t="inlineStr">
        <is>
          <t>ÖDESHÖG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45944</v>
      </c>
      <c r="E100" s="1" t="n">
        <v>46299</v>
      </c>
      <c r="F100" t="inlineStr">
        <is>
          <t>ÖSTERGÖTLANDS LÄN</t>
        </is>
      </c>
      <c r="G100" t="inlineStr">
        <is>
          <t>ÖDESHÖG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46299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46299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46299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46299</v>
      </c>
      <c r="F104" t="inlineStr">
        <is>
          <t>ÖSTERGÖTLANDS LÄN</t>
        </is>
      </c>
      <c r="G104" t="inlineStr">
        <is>
          <t>ÖDESHÖG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45512</v>
      </c>
      <c r="E105" s="1" t="n">
        <v>46299</v>
      </c>
      <c r="F105" t="inlineStr">
        <is>
          <t>ÖSTERGÖTLANDS LÄN</t>
        </is>
      </c>
      <c r="G105" t="inlineStr">
        <is>
          <t>ÖDESHÖG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12872-2026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46092</v>
      </c>
      <c r="E106" s="1" t="n">
        <v>46299</v>
      </c>
      <c r="F106" t="inlineStr">
        <is>
          <t>ÖSTERGÖTLANDS LÄN</t>
        </is>
      </c>
      <c r="G106" t="inlineStr">
        <is>
          <t>ÖDESHÖG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12859-2026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46092</v>
      </c>
      <c r="E107" s="1" t="n">
        <v>46299</v>
      </c>
      <c r="F107" t="inlineStr">
        <is>
          <t>ÖSTERGÖTLANDS LÄN</t>
        </is>
      </c>
      <c r="G107" t="inlineStr">
        <is>
          <t>ÖDESHÖG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45049</v>
      </c>
      <c r="E108" s="1" t="n">
        <v>46299</v>
      </c>
      <c r="F108" t="inlineStr">
        <is>
          <t>ÖSTERGÖTLANDS LÄN</t>
        </is>
      </c>
      <c r="G108" t="inlineStr">
        <is>
          <t>ÖDESHÖG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45776</v>
      </c>
      <c r="E109" s="1" t="n">
        <v>46299</v>
      </c>
      <c r="F109" t="inlineStr">
        <is>
          <t>ÖSTERGÖTLANDS LÄN</t>
        </is>
      </c>
      <c r="G109" t="inlineStr">
        <is>
          <t>ÖDESHÖG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46299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46299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46299</v>
      </c>
      <c r="F112" t="inlineStr">
        <is>
          <t>ÖSTERGÖTLANDS LÄN</t>
        </is>
      </c>
      <c r="G112" t="inlineStr">
        <is>
          <t>ÖDESHÖG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46299</v>
      </c>
      <c r="F113" t="inlineStr">
        <is>
          <t>ÖSTERGÖTLANDS LÄN</t>
        </is>
      </c>
      <c r="G113" t="inlineStr">
        <is>
          <t>ÖDESHÖG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45512</v>
      </c>
      <c r="E114" s="1" t="n">
        <v>46299</v>
      </c>
      <c r="F114" t="inlineStr">
        <is>
          <t>ÖSTERGÖTLANDS LÄN</t>
        </is>
      </c>
      <c r="G114" t="inlineStr">
        <is>
          <t>ÖDESHÖG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44613</v>
      </c>
      <c r="E115" s="1" t="n">
        <v>46299</v>
      </c>
      <c r="F115" t="inlineStr">
        <is>
          <t>ÖSTERGÖTLANDS LÄN</t>
        </is>
      </c>
      <c r="G115" t="inlineStr">
        <is>
          <t>ÖDESHÖG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44502</v>
      </c>
      <c r="E116" s="1" t="n">
        <v>46299</v>
      </c>
      <c r="F116" t="inlineStr">
        <is>
          <t>ÖSTERGÖTLANDS LÄN</t>
        </is>
      </c>
      <c r="G116" t="inlineStr">
        <is>
          <t>ÖDESHÖG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46299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46299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46299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46299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33375-2024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45519</v>
      </c>
      <c r="E121" s="1" t="n">
        <v>46299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43263-2023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45183</v>
      </c>
      <c r="E122" s="1" t="n">
        <v>46299</v>
      </c>
      <c r="F122" t="inlineStr">
        <is>
          <t>ÖSTERGÖTLANDS LÄN</t>
        </is>
      </c>
      <c r="G122" t="inlineStr">
        <is>
          <t>ÖDESHÖG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46299</v>
      </c>
      <c r="F123" t="inlineStr">
        <is>
          <t>ÖSTERGÖTLANDS LÄN</t>
        </is>
      </c>
      <c r="G123" t="inlineStr">
        <is>
          <t>ÖDESHÖG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46109</v>
      </c>
      <c r="E124" s="1" t="n">
        <v>46299</v>
      </c>
      <c r="F124" t="inlineStr">
        <is>
          <t>ÖSTERGÖTLANDS LÄN</t>
        </is>
      </c>
      <c r="G124" t="inlineStr">
        <is>
          <t>ÖDESHÖG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46109</v>
      </c>
      <c r="E125" s="1" t="n">
        <v>46299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45161</v>
      </c>
      <c r="E126" s="1" t="n">
        <v>46299</v>
      </c>
      <c r="F126" t="inlineStr">
        <is>
          <t>ÖSTERGÖTLANDS LÄN</t>
        </is>
      </c>
      <c r="G126" t="inlineStr">
        <is>
          <t>ÖDESHÖG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17950-2026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46122</v>
      </c>
      <c r="E127" s="1" t="n">
        <v>46299</v>
      </c>
      <c r="F127" t="inlineStr">
        <is>
          <t>ÖSTERGÖTLANDS LÄN</t>
        </is>
      </c>
      <c r="G127" t="inlineStr">
        <is>
          <t>ÖDESHÖG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46299</v>
      </c>
      <c r="F128" t="inlineStr">
        <is>
          <t>ÖSTERGÖTLANDS LÄN</t>
        </is>
      </c>
      <c r="G128" t="inlineStr">
        <is>
          <t>ÖDESHÖG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46299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15907-2024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45405</v>
      </c>
      <c r="E130" s="1" t="n">
        <v>46299</v>
      </c>
      <c r="F130" t="inlineStr">
        <is>
          <t>ÖSTERGÖTLANDS LÄN</t>
        </is>
      </c>
      <c r="G130" t="inlineStr">
        <is>
          <t>ÖDESHÖG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15915-2024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45405</v>
      </c>
      <c r="E131" s="1" t="n">
        <v>46299</v>
      </c>
      <c r="F131" t="inlineStr">
        <is>
          <t>ÖSTERGÖTLANDS LÄN</t>
        </is>
      </c>
      <c r="G131" t="inlineStr">
        <is>
          <t>ÖDESHÖG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46299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32466-2025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46299</v>
      </c>
      <c r="F133" t="inlineStr">
        <is>
          <t>ÖSTERGÖTLANDS LÄN</t>
        </is>
      </c>
      <c r="G133" t="inlineStr">
        <is>
          <t>ÖDESHÖG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46299</v>
      </c>
      <c r="F134" t="inlineStr">
        <is>
          <t>ÖSTERGÖTLANDS LÄN</t>
        </is>
      </c>
      <c r="G134" t="inlineStr">
        <is>
          <t>ÖDESHÖG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45707</v>
      </c>
      <c r="E135" s="1" t="n">
        <v>46299</v>
      </c>
      <c r="F135" t="inlineStr">
        <is>
          <t>ÖSTERGÖTLANDS LÄN</t>
        </is>
      </c>
      <c r="G135" t="inlineStr">
        <is>
          <t>ÖDESHÖG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45516</v>
      </c>
      <c r="E136" s="1" t="n">
        <v>46299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46299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45671</v>
      </c>
      <c r="E138" s="1" t="n">
        <v>46299</v>
      </c>
      <c r="F138" t="inlineStr">
        <is>
          <t>ÖSTERGÖTLANDS LÄN</t>
        </is>
      </c>
      <c r="G138" t="inlineStr">
        <is>
          <t>ÖDESHÖG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46299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46299</v>
      </c>
      <c r="F140" t="inlineStr">
        <is>
          <t>ÖSTERGÖTLANDS LÄN</t>
        </is>
      </c>
      <c r="G140" t="inlineStr">
        <is>
          <t>ÖDESHÖG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45412</v>
      </c>
      <c r="E141" s="1" t="n">
        <v>46299</v>
      </c>
      <c r="F141" t="inlineStr">
        <is>
          <t>ÖSTERGÖTLANDS LÄN</t>
        </is>
      </c>
      <c r="G141" t="inlineStr">
        <is>
          <t>ÖDESHÖG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46299</v>
      </c>
      <c r="F142" t="inlineStr">
        <is>
          <t>ÖSTERGÖTLANDS LÄN</t>
        </is>
      </c>
      <c r="G142" t="inlineStr">
        <is>
          <t>ÖDESHÖG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45065</v>
      </c>
      <c r="E143" s="1" t="n">
        <v>46299</v>
      </c>
      <c r="F143" t="inlineStr">
        <is>
          <t>ÖSTERGÖTLANDS LÄN</t>
        </is>
      </c>
      <c r="G143" t="inlineStr">
        <is>
          <t>ÖDESHÖG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64802-2021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44512</v>
      </c>
      <c r="E144" s="1" t="n">
        <v>46299</v>
      </c>
      <c r="F144" t="inlineStr">
        <is>
          <t>ÖSTERGÖTLANDS LÄN</t>
        </is>
      </c>
      <c r="G144" t="inlineStr">
        <is>
          <t>ÖDESHÖG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46299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45316</v>
      </c>
      <c r="E146" s="1" t="n">
        <v>46299</v>
      </c>
      <c r="F146" t="inlineStr">
        <is>
          <t>ÖSTERGÖTLANDS LÄN</t>
        </is>
      </c>
      <c r="G146" t="inlineStr">
        <is>
          <t>ÖDESHÖG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46024</v>
      </c>
      <c r="E147" s="1" t="n">
        <v>46299</v>
      </c>
      <c r="F147" t="inlineStr">
        <is>
          <t>ÖSTERGÖTLANDS LÄN</t>
        </is>
      </c>
      <c r="G147" t="inlineStr">
        <is>
          <t>ÖDESHÖG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46299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8.699999999999999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46299</v>
      </c>
      <c r="F149" t="inlineStr">
        <is>
          <t>ÖSTERGÖTLANDS LÄN</t>
        </is>
      </c>
      <c r="G149" t="inlineStr">
        <is>
          <t>ÖDESHÖG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46299</v>
      </c>
      <c r="F150" t="inlineStr">
        <is>
          <t>ÖSTERGÖTLANDS LÄN</t>
        </is>
      </c>
      <c r="G150" t="inlineStr">
        <is>
          <t>ÖDESHÖG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45603</v>
      </c>
      <c r="E151" s="1" t="n">
        <v>46299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19157-2023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46299</v>
      </c>
      <c r="F152" t="inlineStr">
        <is>
          <t>ÖSTERGÖTLANDS LÄN</t>
        </is>
      </c>
      <c r="G152" t="inlineStr">
        <is>
          <t>ÖDESHÖG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46009</v>
      </c>
      <c r="E153" s="1" t="n">
        <v>46299</v>
      </c>
      <c r="F153" t="inlineStr">
        <is>
          <t>ÖSTERGÖTLANDS LÄN</t>
        </is>
      </c>
      <c r="G153" t="inlineStr">
        <is>
          <t>ÖDESHÖG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46299</v>
      </c>
      <c r="F154" t="inlineStr">
        <is>
          <t>ÖSTERGÖTLANDS LÄN</t>
        </is>
      </c>
      <c r="G154" t="inlineStr">
        <is>
          <t>ÖDESHÖG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46299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46299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46299</v>
      </c>
      <c r="F157" t="inlineStr">
        <is>
          <t>ÖSTERGÖTLANDS LÄN</t>
        </is>
      </c>
      <c r="G157" t="inlineStr">
        <is>
          <t>ÖDESHÖG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14166-2023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45009</v>
      </c>
      <c r="E158" s="1" t="n">
        <v>46299</v>
      </c>
      <c r="F158" t="inlineStr">
        <is>
          <t>ÖSTERGÖTLANDS LÄN</t>
        </is>
      </c>
      <c r="G158" t="inlineStr">
        <is>
          <t>ÖDESHÖG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46299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61011-2024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45645</v>
      </c>
      <c r="E160" s="1" t="n">
        <v>46299</v>
      </c>
      <c r="F160" t="inlineStr">
        <is>
          <t>ÖSTERGÖTLANDS LÄN</t>
        </is>
      </c>
      <c r="G160" t="inlineStr">
        <is>
          <t>ÖDESHÖG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10335-2022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46299</v>
      </c>
      <c r="F161" t="inlineStr">
        <is>
          <t>ÖSTERGÖTLANDS LÄN</t>
        </is>
      </c>
      <c r="G161" t="inlineStr">
        <is>
          <t>ÖDESHÖG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46299</v>
      </c>
      <c r="F162" t="inlineStr">
        <is>
          <t>ÖSTERGÖTLANDS LÄN</t>
        </is>
      </c>
      <c r="G162" t="inlineStr">
        <is>
          <t>ÖDESHÖG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46299</v>
      </c>
      <c r="F163" t="inlineStr">
        <is>
          <t>ÖSTERGÖTLANDS LÄN</t>
        </is>
      </c>
      <c r="G163" t="inlineStr">
        <is>
          <t>ÖDESHÖG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46299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45707</v>
      </c>
      <c r="E165" s="1" t="n">
        <v>46299</v>
      </c>
      <c r="F165" t="inlineStr">
        <is>
          <t>ÖSTERGÖTLANDS LÄN</t>
        </is>
      </c>
      <c r="G165" t="inlineStr">
        <is>
          <t>ÖDESHÖG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46299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46299</v>
      </c>
      <c r="F167" t="inlineStr">
        <is>
          <t>ÖSTERGÖTLANDS LÄN</t>
        </is>
      </c>
      <c r="G167" t="inlineStr">
        <is>
          <t>ÖDESHÖG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46299</v>
      </c>
      <c r="F168" t="inlineStr">
        <is>
          <t>ÖSTERGÖTLANDS LÄN</t>
        </is>
      </c>
      <c r="G168" t="inlineStr">
        <is>
          <t>ÖDESHÖG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46299</v>
      </c>
      <c r="F169" t="inlineStr">
        <is>
          <t>ÖSTERGÖTLANDS LÄN</t>
        </is>
      </c>
      <c r="G169" t="inlineStr">
        <is>
          <t>ÖDESHÖG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46299</v>
      </c>
      <c r="F170" t="inlineStr">
        <is>
          <t>ÖSTERGÖTLANDS LÄN</t>
        </is>
      </c>
      <c r="G170" t="inlineStr">
        <is>
          <t>ÖDESHÖG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46299</v>
      </c>
      <c r="F171" t="inlineStr">
        <is>
          <t>ÖSTERGÖTLANDS LÄN</t>
        </is>
      </c>
      <c r="G171" t="inlineStr">
        <is>
          <t>ÖDESHÖG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25895-2026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46299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46299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46299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46299</v>
      </c>
      <c r="F175" t="inlineStr">
        <is>
          <t>ÖSTERGÖTLANDS LÄN</t>
        </is>
      </c>
      <c r="G175" t="inlineStr">
        <is>
          <t>ÖDESHÖG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46299</v>
      </c>
      <c r="F176" t="inlineStr">
        <is>
          <t>ÖSTERGÖTLANDS LÄN</t>
        </is>
      </c>
      <c r="G176" t="inlineStr">
        <is>
          <t>ÖDESHÖG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46184</v>
      </c>
      <c r="E177" s="1" t="n">
        <v>46299</v>
      </c>
      <c r="F177" t="inlineStr">
        <is>
          <t>ÖSTERGÖTLANDS LÄN</t>
        </is>
      </c>
      <c r="G177" t="inlineStr">
        <is>
          <t>ÖDESHÖG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45331</v>
      </c>
      <c r="E178" s="1" t="n">
        <v>46299</v>
      </c>
      <c r="F178" t="inlineStr">
        <is>
          <t>ÖSTERGÖTLANDS LÄN</t>
        </is>
      </c>
      <c r="G178" t="inlineStr">
        <is>
          <t>ÖDESHÖG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46299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46299</v>
      </c>
      <c r="F180" t="inlineStr">
        <is>
          <t>ÖSTERGÖTLANDS LÄN</t>
        </is>
      </c>
      <c r="G180" t="inlineStr">
        <is>
          <t>ÖDESHÖG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46299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46299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45313</v>
      </c>
      <c r="E183" s="1" t="n">
        <v>46299</v>
      </c>
      <c r="F183" t="inlineStr">
        <is>
          <t>ÖSTERGÖTLANDS LÄN</t>
        </is>
      </c>
      <c r="G183" t="inlineStr">
        <is>
          <t>ÖDESHÖG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64709-2023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46299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64710-2023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46299</v>
      </c>
      <c r="F185" t="inlineStr">
        <is>
          <t>ÖSTERGÖTLANDS LÄN</t>
        </is>
      </c>
      <c r="G185" t="inlineStr">
        <is>
          <t>ÖDESHÖG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46299</v>
      </c>
      <c r="F186" t="inlineStr">
        <is>
          <t>ÖSTERGÖTLANDS LÄN</t>
        </is>
      </c>
      <c r="G186" t="inlineStr">
        <is>
          <t>ÖDESHÖG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46199</v>
      </c>
      <c r="E187" s="1" t="n">
        <v>46299</v>
      </c>
      <c r="F187" t="inlineStr">
        <is>
          <t>ÖSTERGÖTLANDS LÄN</t>
        </is>
      </c>
      <c r="G187" t="inlineStr">
        <is>
          <t>ÖDESHÖG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46299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21770-2023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46299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46299</v>
      </c>
      <c r="F190" t="inlineStr">
        <is>
          <t>ÖSTERGÖTLANDS LÄN</t>
        </is>
      </c>
      <c r="G190" t="inlineStr">
        <is>
          <t>ÖDESHÖG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46299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Sveaskog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46299</v>
      </c>
      <c r="F192" t="inlineStr">
        <is>
          <t>ÖSTERGÖTLANDS LÄN</t>
        </is>
      </c>
      <c r="G192" t="inlineStr">
        <is>
          <t>ÖDESHÖG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45944</v>
      </c>
      <c r="E193" s="1" t="n">
        <v>46299</v>
      </c>
      <c r="F193" t="inlineStr">
        <is>
          <t>ÖSTERGÖTLANDS LÄN</t>
        </is>
      </c>
      <c r="G193" t="inlineStr">
        <is>
          <t>ÖDESHÖG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15906-2024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45405</v>
      </c>
      <c r="E194" s="1" t="n">
        <v>46299</v>
      </c>
      <c r="F194" t="inlineStr">
        <is>
          <t>ÖSTERGÖTLANDS LÄN</t>
        </is>
      </c>
      <c r="G194" t="inlineStr">
        <is>
          <t>ÖDESHÖG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46299</v>
      </c>
      <c r="F195" t="inlineStr">
        <is>
          <t>ÖSTERGÖTLANDS LÄN</t>
        </is>
      </c>
      <c r="G195" t="inlineStr">
        <is>
          <t>ÖDESHÖG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46299</v>
      </c>
      <c r="F196" t="inlineStr">
        <is>
          <t>ÖSTERGÖTLANDS LÄN</t>
        </is>
      </c>
      <c r="G196" t="inlineStr">
        <is>
          <t>ÖDESHÖG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46299</v>
      </c>
      <c r="F197" t="inlineStr">
        <is>
          <t>ÖSTERGÖTLANDS LÄN</t>
        </is>
      </c>
      <c r="G197" t="inlineStr">
        <is>
          <t>ÖDESHÖG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46299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48325-2022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44858</v>
      </c>
      <c r="E199" s="1" t="n">
        <v>46299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46299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46299</v>
      </c>
      <c r="F201" t="inlineStr">
        <is>
          <t>ÖSTERGÖTLANDS LÄN</t>
        </is>
      </c>
      <c r="G201" t="inlineStr">
        <is>
          <t>ÖDESHÖG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46299</v>
      </c>
      <c r="F202" t="inlineStr">
        <is>
          <t>ÖSTERGÖTLANDS LÄN</t>
        </is>
      </c>
      <c r="G202" t="inlineStr">
        <is>
          <t>ÖDESHÖG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46299</v>
      </c>
      <c r="F203" t="inlineStr">
        <is>
          <t>ÖSTERGÖTLANDS LÄN</t>
        </is>
      </c>
      <c r="G203" t="inlineStr">
        <is>
          <t>ÖDESHÖG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46280</v>
      </c>
      <c r="E204" s="1" t="n">
        <v>46299</v>
      </c>
      <c r="F204" t="inlineStr">
        <is>
          <t>ÖSTERGÖTLANDS LÄN</t>
        </is>
      </c>
      <c r="G204" t="inlineStr">
        <is>
          <t>ÖDESHÖG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11193-2023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44992</v>
      </c>
      <c r="E205" s="1" t="n">
        <v>46299</v>
      </c>
      <c r="F205" t="inlineStr">
        <is>
          <t>ÖSTERGÖTLANDS LÄN</t>
        </is>
      </c>
      <c r="G205" t="inlineStr">
        <is>
          <t>ÖDESHÖG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45707</v>
      </c>
      <c r="E206" s="1" t="n">
        <v>46299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45491</v>
      </c>
      <c r="E207" s="1" t="n">
        <v>46299</v>
      </c>
      <c r="F207" t="inlineStr">
        <is>
          <t>ÖSTERGÖTLANDS LÄN</t>
        </is>
      </c>
      <c r="G207" t="inlineStr">
        <is>
          <t>ÖDESHÖG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46299</v>
      </c>
      <c r="F208" t="inlineStr">
        <is>
          <t>ÖSTERGÖTLANDS LÄN</t>
        </is>
      </c>
      <c r="G208" t="inlineStr">
        <is>
          <t>ÖDESHÖG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46299</v>
      </c>
      <c r="F209" t="inlineStr">
        <is>
          <t>ÖSTERGÖTLANDS LÄN</t>
        </is>
      </c>
      <c r="G209" t="inlineStr">
        <is>
          <t>ÖDESHÖG</t>
        </is>
      </c>
      <c r="H209" t="inlineStr">
        <is>
          <t>Allmännings- och besparingsskogar</t>
        </is>
      </c>
      <c r="I209" t="n">
        <v>22.7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46299</v>
      </c>
      <c r="F210" t="inlineStr">
        <is>
          <t>ÖSTERGÖTLANDS LÄN</t>
        </is>
      </c>
      <c r="G210" t="inlineStr">
        <is>
          <t>ÖDESHÖG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45009</v>
      </c>
      <c r="E211" s="1" t="n">
        <v>46299</v>
      </c>
      <c r="F211" t="inlineStr">
        <is>
          <t>ÖSTERGÖTLANDS LÄN</t>
        </is>
      </c>
      <c r="G211" t="inlineStr">
        <is>
          <t>ÖDESHÖG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46299</v>
      </c>
      <c r="F212" t="inlineStr">
        <is>
          <t>ÖSTERGÖTLANDS LÄN</t>
        </is>
      </c>
      <c r="G212" t="inlineStr">
        <is>
          <t>ÖDESHÖG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46299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39190-2023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45166</v>
      </c>
      <c r="E214" s="1" t="n">
        <v>46299</v>
      </c>
      <c r="F214" t="inlineStr">
        <is>
          <t>ÖSTERGÖTLANDS LÄN</t>
        </is>
      </c>
      <c r="G214" t="inlineStr">
        <is>
          <t>ÖDESHÖG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46275</v>
      </c>
      <c r="E215" s="1" t="n">
        <v>46299</v>
      </c>
      <c r="F215" t="inlineStr">
        <is>
          <t>ÖSTERGÖTLANDS LÄN</t>
        </is>
      </c>
      <c r="G215" t="inlineStr">
        <is>
          <t>ÖDESHÖG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46299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46289</v>
      </c>
      <c r="E217" s="1" t="n">
        <v>46299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46299</v>
      </c>
      <c r="F218" t="inlineStr">
        <is>
          <t>ÖSTERGÖTLANDS LÄN</t>
        </is>
      </c>
      <c r="G218" t="inlineStr">
        <is>
          <t>ÖDESHÖG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46299</v>
      </c>
      <c r="F219" t="inlineStr">
        <is>
          <t>ÖSTERGÖTLANDS LÄN</t>
        </is>
      </c>
      <c r="G219" t="inlineStr">
        <is>
          <t>ÖDESHÖG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45049</v>
      </c>
      <c r="E220" s="1" t="n">
        <v>46299</v>
      </c>
      <c r="F220" t="inlineStr">
        <is>
          <t>ÖSTERGÖTLANDS LÄN</t>
        </is>
      </c>
      <c r="G220" t="inlineStr">
        <is>
          <t>ÖDESHÖG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51041-2024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46299</v>
      </c>
      <c r="F221" t="inlineStr">
        <is>
          <t>ÖSTERGÖTLANDS LÄN</t>
        </is>
      </c>
      <c r="G221" t="inlineStr">
        <is>
          <t>ÖDESHÖG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46299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44999</v>
      </c>
      <c r="E223" s="1" t="n">
        <v>46299</v>
      </c>
      <c r="F223" t="inlineStr">
        <is>
          <t>ÖSTERGÖTLANDS LÄN</t>
        </is>
      </c>
      <c r="G223" t="inlineStr">
        <is>
          <t>ÖDESHÖG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38266-2022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46299</v>
      </c>
      <c r="F224" t="inlineStr">
        <is>
          <t>ÖSTERGÖTLANDS LÄN</t>
        </is>
      </c>
      <c r="G224" t="inlineStr">
        <is>
          <t>ÖDESHÖG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46299</v>
      </c>
      <c r="F225" t="inlineStr">
        <is>
          <t>ÖSTERGÖTLANDS LÄN</t>
        </is>
      </c>
      <c r="G225" t="inlineStr">
        <is>
          <t>ÖDESHÖG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14736-2024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45397</v>
      </c>
      <c r="E226" s="1" t="n">
        <v>46299</v>
      </c>
      <c r="F226" t="inlineStr">
        <is>
          <t>ÖSTERGÖTLANDS LÄN</t>
        </is>
      </c>
      <c r="G226" t="inlineStr">
        <is>
          <t>ÖDESHÖG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46299</v>
      </c>
      <c r="F227" t="inlineStr">
        <is>
          <t>ÖSTERGÖTLANDS LÄN</t>
        </is>
      </c>
      <c r="G227" t="inlineStr">
        <is>
          <t>ÖDESHÖG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45491</v>
      </c>
      <c r="E228" s="1" t="n">
        <v>46299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44709</v>
      </c>
      <c r="E229" s="1" t="n">
        <v>46299</v>
      </c>
      <c r="F229" t="inlineStr">
        <is>
          <t>ÖSTERGÖTLANDS LÄN</t>
        </is>
      </c>
      <c r="G229" t="inlineStr">
        <is>
          <t>ÖDESHÖG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72603-2021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46299</v>
      </c>
      <c r="F230" t="inlineStr">
        <is>
          <t>ÖSTERGÖTLANDS LÄN</t>
        </is>
      </c>
      <c r="G230" t="inlineStr">
        <is>
          <t>ÖDESHÖG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45014</v>
      </c>
      <c r="E231" s="1" t="n">
        <v>46299</v>
      </c>
      <c r="F231" t="inlineStr">
        <is>
          <t>ÖSTERGÖTLANDS LÄN</t>
        </is>
      </c>
      <c r="G231" t="inlineStr">
        <is>
          <t>ÖDESHÖG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46299</v>
      </c>
      <c r="F232" t="inlineStr">
        <is>
          <t>ÖSTERGÖTLANDS LÄN</t>
        </is>
      </c>
      <c r="G232" t="inlineStr">
        <is>
          <t>ÖDESHÖG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46299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46299</v>
      </c>
      <c r="F234" t="inlineStr">
        <is>
          <t>ÖSTERGÖTLANDS LÄN</t>
        </is>
      </c>
      <c r="G234" t="inlineStr">
        <is>
          <t>ÖDESHÖG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46299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46299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2026-10-04T01:59:57Z</dcterms:created>
  <dcterms:modified xmlns:dcterms="http://purl.org/dc/terms/" xmlns:xsi="http://www.w3.org/2001/XMLSchema-instance" xsi:type="dcterms:W3CDTF">2026-10-04T01:59:57Z</dcterms:modified>
</cp:coreProperties>
</file>