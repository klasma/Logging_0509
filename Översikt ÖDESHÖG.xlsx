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46252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46252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46252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46252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46252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46252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46252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32713-2024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45516</v>
      </c>
      <c r="E10" s="1" t="n">
        <v>46252</v>
      </c>
      <c r="F10" t="inlineStr">
        <is>
          <t>ÖSTERGÖTLANDS LÄN</t>
        </is>
      </c>
      <c r="G10" t="inlineStr">
        <is>
          <t>ÖDESHÖG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Kristinspindling</t>
        </is>
      </c>
      <c r="W10">
        <f>HYPERLINK("https://klasma.github.io/Logging_0509/artfynd/A 32713-2024 artfynd.xlsx", "A 32713-2024")</f>
        <v/>
      </c>
      <c r="X10">
        <f>HYPERLINK("https://klasma.github.io/Logging_0509/kartor/A 32713-2024 karta.png", "A 32713-2024")</f>
        <v/>
      </c>
      <c r="Y10">
        <f>HYPERLINK("https://klasma.github.io/Logging_0509/kartor_geotiff/A 32713-2024 georefererad karta.tif", "A 32713-2024")</f>
        <v/>
      </c>
      <c r="AA10">
        <f>HYPERLINK("https://klasma.github.io/Logging_0509/klagomål/A 32713-2024 FSC-klagomål.docx", "A 32713-2024")</f>
        <v/>
      </c>
      <c r="AB10">
        <f>HYPERLINK("https://klasma.github.io/Logging_0509/klagomålsmail/A 32713-2024 FSC-klagomål mail.docx", "A 32713-2024")</f>
        <v/>
      </c>
      <c r="AC10">
        <f>HYPERLINK("https://klasma.github.io/Logging_0509/tillsyn/A 32713-2024 tillsynsbegäran.docx", "A 32713-2024")</f>
        <v/>
      </c>
      <c r="AD10">
        <f>HYPERLINK("https://klasma.github.io/Logging_0509/tillsynsmail/A 32713-2024 tillsynsbegäran mail.docx", "A 32713-2024")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46252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62988-2023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46252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62988-2023 artfynd.xlsx", "A 62988-2023")</f>
        <v/>
      </c>
      <c r="X12">
        <f>HYPERLINK("https://klasma.github.io/Logging_0509/kartor/A 62988-2023 karta.png", "A 62988-2023")</f>
        <v/>
      </c>
      <c r="Y12">
        <f>HYPERLINK("https://klasma.github.io/Logging_0509/kartor_geotiff/A 62988-2023 georefererad karta.tif", "A 62988-2023")</f>
        <v/>
      </c>
      <c r="AA12">
        <f>HYPERLINK("https://klasma.github.io/Logging_0509/klagomål/A 62988-2023 FSC-klagomål.docx", "A 62988-2023")</f>
        <v/>
      </c>
      <c r="AB12">
        <f>HYPERLINK("https://klasma.github.io/Logging_0509/klagomålsmail/A 62988-2023 FSC-klagomål mail.docx", "A 62988-2023")</f>
        <v/>
      </c>
      <c r="AC12">
        <f>HYPERLINK("https://klasma.github.io/Logging_0509/tillsyn/A 62988-2023 tillsynsbegäran.docx", "A 62988-2023")</f>
        <v/>
      </c>
      <c r="AD12">
        <f>HYPERLINK("https://klasma.github.io/Logging_0509/tillsynsmail/A 62988-2023 tillsynsbegäran mail.docx", "A 62988-2023")</f>
        <v/>
      </c>
    </row>
    <row r="13" ht="15" customHeight="1">
      <c r="A13" t="inlineStr">
        <is>
          <t>A 38720-2023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46252</v>
      </c>
      <c r="F13" t="inlineStr">
        <is>
          <t>ÖSTERGÖTLANDS LÄN</t>
        </is>
      </c>
      <c r="G13" t="inlineStr">
        <is>
          <t>ÖDESHÖG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Hässleklocka</t>
        </is>
      </c>
      <c r="W13">
        <f>HYPERLINK("https://klasma.github.io/Logging_0509/artfynd/A 38720-2023 artfynd.xlsx", "A 38720-2023")</f>
        <v/>
      </c>
      <c r="X13">
        <f>HYPERLINK("https://klasma.github.io/Logging_0509/kartor/A 38720-2023 karta.png", "A 38720-2023")</f>
        <v/>
      </c>
      <c r="Y13">
        <f>HYPERLINK("https://klasma.github.io/Logging_0509/kartor_geotiff/A 38720-2023 georefererad karta.tif", "A 38720-2023")</f>
        <v/>
      </c>
      <c r="AA13">
        <f>HYPERLINK("https://klasma.github.io/Logging_0509/klagomål/A 38720-2023 FSC-klagomål.docx", "A 38720-2023")</f>
        <v/>
      </c>
      <c r="AB13">
        <f>HYPERLINK("https://klasma.github.io/Logging_0509/klagomålsmail/A 38720-2023 FSC-klagomål mail.docx", "A 38720-2023")</f>
        <v/>
      </c>
      <c r="AC13">
        <f>HYPERLINK("https://klasma.github.io/Logging_0509/tillsyn/A 38720-2023 tillsynsbegäran.docx", "A 38720-2023")</f>
        <v/>
      </c>
      <c r="AD13">
        <f>HYPERLINK("https://klasma.github.io/Logging_0509/tillsynsmail/A 38720-2023 tillsynsbegäran mail.docx", "A 38720-2023")</f>
        <v/>
      </c>
    </row>
    <row r="14" ht="15" customHeight="1">
      <c r="A14" t="inlineStr">
        <is>
          <t>A 56637-2023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45243</v>
      </c>
      <c r="E14" s="1" t="n">
        <v>46252</v>
      </c>
      <c r="F14" t="inlineStr">
        <is>
          <t>ÖSTERGÖTLANDS LÄN</t>
        </is>
      </c>
      <c r="G14" t="inlineStr">
        <is>
          <t>ÖDESHÖG</t>
        </is>
      </c>
      <c r="I14" t="n">
        <v>2.9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56637-2023 artfynd.xlsx", "A 56637-2023")</f>
        <v/>
      </c>
      <c r="X14">
        <f>HYPERLINK("https://klasma.github.io/Logging_0509/kartor/A 56637-2023 karta.png", "A 56637-2023")</f>
        <v/>
      </c>
      <c r="Y14">
        <f>HYPERLINK("https://klasma.github.io/Logging_0509/kartor_geotiff/A 56637-2023 georefererad karta.tif", "A 56637-2023")</f>
        <v/>
      </c>
      <c r="AA14">
        <f>HYPERLINK("https://klasma.github.io/Logging_0509/klagomål/A 56637-2023 FSC-klagomål.docx", "A 56637-2023")</f>
        <v/>
      </c>
      <c r="AB14">
        <f>HYPERLINK("https://klasma.github.io/Logging_0509/klagomålsmail/A 56637-2023 FSC-klagomål mail.docx", "A 56637-2023")</f>
        <v/>
      </c>
      <c r="AC14">
        <f>HYPERLINK("https://klasma.github.io/Logging_0509/tillsyn/A 56637-2023 tillsynsbegäran.docx", "A 56637-2023")</f>
        <v/>
      </c>
      <c r="AD14">
        <f>HYPERLINK("https://klasma.github.io/Logging_0509/tillsynsmail/A 56637-2023 tillsynsbegäran mail.docx", "A 56637-2023")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46252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50774-2023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46252</v>
      </c>
      <c r="F16" t="inlineStr">
        <is>
          <t>ÖSTERGÖTLANDS LÄN</t>
        </is>
      </c>
      <c r="G16" t="inlineStr">
        <is>
          <t>ÖDESHÖG</t>
        </is>
      </c>
      <c r="I16" t="n">
        <v>9.5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Mörk dunört</t>
        </is>
      </c>
      <c r="W16">
        <f>HYPERLINK("https://klasma.github.io/Logging_0509/artfynd/A 50774-2023 artfynd.xlsx", "A 50774-2023")</f>
        <v/>
      </c>
      <c r="X16">
        <f>HYPERLINK("https://klasma.github.io/Logging_0509/kartor/A 50774-2023 karta.png", "A 50774-2023")</f>
        <v/>
      </c>
      <c r="Y16">
        <f>HYPERLINK("https://klasma.github.io/Logging_0509/kartor_geotiff/A 50774-2023 georefererad karta.tif", "A 50774-2023")</f>
        <v/>
      </c>
      <c r="AA16">
        <f>HYPERLINK("https://klasma.github.io/Logging_0509/klagomål/A 50774-2023 FSC-klagomål.docx", "A 50774-2023")</f>
        <v/>
      </c>
      <c r="AB16">
        <f>HYPERLINK("https://klasma.github.io/Logging_0509/klagomålsmail/A 50774-2023 FSC-klagomål mail.docx", "A 50774-2023")</f>
        <v/>
      </c>
      <c r="AC16">
        <f>HYPERLINK("https://klasma.github.io/Logging_0509/tillsyn/A 50774-2023 tillsynsbegäran.docx", "A 50774-2023")</f>
        <v/>
      </c>
      <c r="AD16">
        <f>HYPERLINK("https://klasma.github.io/Logging_0509/tillsynsmail/A 50774-2023 tillsynsbegäran mail.docx", "A 50774-2023")</f>
        <v/>
      </c>
    </row>
    <row r="17" ht="15" customHeight="1">
      <c r="A17" t="inlineStr">
        <is>
          <t>A 15437-2025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45747</v>
      </c>
      <c r="E17" s="1" t="n">
        <v>46252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HYPERLINK("https://klasma.github.io/Logging_0509/artfynd/A 15437-2025 artfynd.xlsx", "A 15437-2025")</f>
        <v/>
      </c>
      <c r="X17">
        <f>HYPERLINK("https://klasma.github.io/Logging_0509/kartor/A 15437-2025 karta.png", "A 15437-2025")</f>
        <v/>
      </c>
      <c r="Y17">
        <f>HYPERLINK("https://klasma.github.io/Logging_0509/kartor_geotiff/A 15437-2025 georefererad karta.tif", "A 15437-2025")</f>
        <v/>
      </c>
      <c r="Z17">
        <f>HYPERLINK("https://klasma.github.io/Logging_0509/knärot/A 15437-2025 karta knärot.png", "A 15437-2025")</f>
        <v/>
      </c>
      <c r="AA17">
        <f>HYPERLINK("https://klasma.github.io/Logging_0509/klagomål/A 15437-2025 FSC-klagomål.docx", "A 15437-2025")</f>
        <v/>
      </c>
      <c r="AB17">
        <f>HYPERLINK("https://klasma.github.io/Logging_0509/klagomålsmail/A 15437-2025 FSC-klagomål mail.docx", "A 15437-2025")</f>
        <v/>
      </c>
      <c r="AC17">
        <f>HYPERLINK("https://klasma.github.io/Logging_0509/tillsyn/A 15437-2025 tillsynsbegäran.docx", "A 15437-2025")</f>
        <v/>
      </c>
      <c r="AD17">
        <f>HYPERLINK("https://klasma.github.io/Logging_0509/tillsynsmail/A 15437-2025 tillsynsbegäran mail.docx", "A 15437-2025")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46252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46252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46252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46252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46252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46252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46252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46252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46252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46252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46252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46252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46252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46252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46252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39024-2023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46252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44796</v>
      </c>
      <c r="E34" s="1" t="n">
        <v>46252</v>
      </c>
      <c r="F34" t="inlineStr">
        <is>
          <t>ÖSTERGÖTLANDS LÄN</t>
        </is>
      </c>
      <c r="G34" t="inlineStr">
        <is>
          <t>ÖDESHÖG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8063-2025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45707</v>
      </c>
      <c r="E35" s="1" t="n">
        <v>46252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32715-2024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46252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45699</v>
      </c>
      <c r="E37" s="1" t="n">
        <v>46252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45671</v>
      </c>
      <c r="E38" s="1" t="n">
        <v>46252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45831</v>
      </c>
      <c r="E39" s="1" t="n">
        <v>46252</v>
      </c>
      <c r="F39" t="inlineStr">
        <is>
          <t>ÖSTERGÖTLANDS LÄN</t>
        </is>
      </c>
      <c r="G39" t="inlineStr">
        <is>
          <t>ÖDESHÖG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45342</v>
      </c>
      <c r="E40" s="1" t="n">
        <v>46252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15790-2025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45748</v>
      </c>
      <c r="E41" s="1" t="n">
        <v>46252</v>
      </c>
      <c r="F41" t="inlineStr">
        <is>
          <t>ÖSTERGÖTLANDS LÄN</t>
        </is>
      </c>
      <c r="G41" t="inlineStr">
        <is>
          <t>ÖDESHÖG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5819-2024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45335</v>
      </c>
      <c r="E42" s="1" t="n">
        <v>46252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17126-2024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46252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46252</v>
      </c>
      <c r="F44" t="inlineStr">
        <is>
          <t>ÖSTERGÖTLANDS LÄN</t>
        </is>
      </c>
      <c r="G44" t="inlineStr">
        <is>
          <t>ÖDESHÖG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35661-2024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45532</v>
      </c>
      <c r="E45" s="1" t="n">
        <v>46252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22088-2023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45069</v>
      </c>
      <c r="E46" s="1" t="n">
        <v>46252</v>
      </c>
      <c r="F46" t="inlineStr">
        <is>
          <t>ÖSTERGÖTLANDS LÄN</t>
        </is>
      </c>
      <c r="G46" t="inlineStr">
        <is>
          <t>ÖDESHÖG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36114-2022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44803</v>
      </c>
      <c r="E47" s="1" t="n">
        <v>46252</v>
      </c>
      <c r="F47" t="inlineStr">
        <is>
          <t>ÖSTERGÖTLANDS LÄN</t>
        </is>
      </c>
      <c r="G47" t="inlineStr">
        <is>
          <t>ÖDESHÖG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45316</v>
      </c>
      <c r="E48" s="1" t="n">
        <v>46252</v>
      </c>
      <c r="F48" t="inlineStr">
        <is>
          <t>ÖSTERGÖTLANDS LÄN</t>
        </is>
      </c>
      <c r="G48" t="inlineStr">
        <is>
          <t>ÖDESHÖG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8256-2023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44974</v>
      </c>
      <c r="E49" s="1" t="n">
        <v>46252</v>
      </c>
      <c r="F49" t="inlineStr">
        <is>
          <t>ÖSTERGÖTLANDS LÄN</t>
        </is>
      </c>
      <c r="G49" t="inlineStr">
        <is>
          <t>ÖDESHÖG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45328</v>
      </c>
      <c r="E50" s="1" t="n">
        <v>46252</v>
      </c>
      <c r="F50" t="inlineStr">
        <is>
          <t>ÖSTERGÖTLANDS LÄN</t>
        </is>
      </c>
      <c r="G50" t="inlineStr">
        <is>
          <t>ÖDESHÖG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45093</v>
      </c>
      <c r="E51" s="1" t="n">
        <v>46252</v>
      </c>
      <c r="F51" t="inlineStr">
        <is>
          <t>ÖSTERGÖTLANDS LÄN</t>
        </is>
      </c>
      <c r="G51" t="inlineStr">
        <is>
          <t>ÖDESHÖG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46252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15813-2022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44664</v>
      </c>
      <c r="E53" s="1" t="n">
        <v>46252</v>
      </c>
      <c r="F53" t="inlineStr">
        <is>
          <t>ÖSTERGÖTLANDS LÄN</t>
        </is>
      </c>
      <c r="G53" t="inlineStr">
        <is>
          <t>ÖDESHÖG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38152-2023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46252</v>
      </c>
      <c r="F54" t="inlineStr">
        <is>
          <t>ÖSTERGÖTLANDS LÄN</t>
        </is>
      </c>
      <c r="G54" t="inlineStr">
        <is>
          <t>ÖDESHÖG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45065</v>
      </c>
      <c r="E55" s="1" t="n">
        <v>46252</v>
      </c>
      <c r="F55" t="inlineStr">
        <is>
          <t>ÖSTERGÖTLANDS LÄN</t>
        </is>
      </c>
      <c r="G55" t="inlineStr">
        <is>
          <t>ÖDESHÖG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64802-2021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44512</v>
      </c>
      <c r="E56" s="1" t="n">
        <v>46252</v>
      </c>
      <c r="F56" t="inlineStr">
        <is>
          <t>ÖSTERGÖTLANDS LÄN</t>
        </is>
      </c>
      <c r="G56" t="inlineStr">
        <is>
          <t>ÖDESHÖG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46252</v>
      </c>
      <c r="F57" t="inlineStr">
        <is>
          <t>ÖSTERGÖTLANDS LÄN</t>
        </is>
      </c>
      <c r="G57" t="inlineStr">
        <is>
          <t>ÖDESHÖG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46252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3149-2024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46252</v>
      </c>
      <c r="F59" t="inlineStr">
        <is>
          <t>ÖSTERGÖTLANDS LÄN</t>
        </is>
      </c>
      <c r="G59" t="inlineStr">
        <is>
          <t>ÖDESHÖG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44069-2023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46252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46059-2025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46252</v>
      </c>
      <c r="F61" t="inlineStr">
        <is>
          <t>ÖSTERGÖTLANDS LÄN</t>
        </is>
      </c>
      <c r="G61" t="inlineStr">
        <is>
          <t>ÖDESHÖG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46252</v>
      </c>
      <c r="F62" t="inlineStr">
        <is>
          <t>ÖSTERGÖTLANDS LÄN</t>
        </is>
      </c>
      <c r="G62" t="inlineStr">
        <is>
          <t>ÖDESHÖG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44894</v>
      </c>
      <c r="E63" s="1" t="n">
        <v>46252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46252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46252</v>
      </c>
      <c r="F65" t="inlineStr">
        <is>
          <t>ÖSTERGÖTLANDS LÄN</t>
        </is>
      </c>
      <c r="G65" t="inlineStr">
        <is>
          <t>ÖDESHÖG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46252</v>
      </c>
      <c r="F66" t="inlineStr">
        <is>
          <t>ÖSTERGÖTLANDS LÄN</t>
        </is>
      </c>
      <c r="G66" t="inlineStr">
        <is>
          <t>ÖDESHÖG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46252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11280-2025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45726</v>
      </c>
      <c r="E68" s="1" t="n">
        <v>46252</v>
      </c>
      <c r="F68" t="inlineStr">
        <is>
          <t>ÖSTERGÖTLANDS LÄN</t>
        </is>
      </c>
      <c r="G68" t="inlineStr">
        <is>
          <t>ÖDESHÖG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15909-2024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45405</v>
      </c>
      <c r="E69" s="1" t="n">
        <v>46252</v>
      </c>
      <c r="F69" t="inlineStr">
        <is>
          <t>ÖSTERGÖTLANDS LÄN</t>
        </is>
      </c>
      <c r="G69" t="inlineStr">
        <is>
          <t>ÖDESHÖG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46252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46252</v>
      </c>
      <c r="F71" t="inlineStr">
        <is>
          <t>ÖSTERGÖTLANDS LÄN</t>
        </is>
      </c>
      <c r="G71" t="inlineStr">
        <is>
          <t>ÖDESHÖG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45161</v>
      </c>
      <c r="E72" s="1" t="n">
        <v>46252</v>
      </c>
      <c r="F72" t="inlineStr">
        <is>
          <t>ÖSTERGÖTLANDS LÄN</t>
        </is>
      </c>
      <c r="G72" t="inlineStr">
        <is>
          <t>ÖDESHÖG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45932</v>
      </c>
      <c r="E73" s="1" t="n">
        <v>46252</v>
      </c>
      <c r="F73" t="inlineStr">
        <is>
          <t>ÖSTERGÖTLANDS LÄN</t>
        </is>
      </c>
      <c r="G73" t="inlineStr">
        <is>
          <t>ÖDESHÖG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45936</v>
      </c>
      <c r="E74" s="1" t="n">
        <v>46252</v>
      </c>
      <c r="F74" t="inlineStr">
        <is>
          <t>ÖSTERGÖTLANDS LÄN</t>
        </is>
      </c>
      <c r="G74" t="inlineStr">
        <is>
          <t>ÖDESHÖG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46252</v>
      </c>
      <c r="F75" t="inlineStr">
        <is>
          <t>ÖSTERGÖTLANDS LÄN</t>
        </is>
      </c>
      <c r="G75" t="inlineStr">
        <is>
          <t>ÖDESHÖG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46252</v>
      </c>
      <c r="F76" t="inlineStr">
        <is>
          <t>ÖSTERGÖTLANDS LÄN</t>
        </is>
      </c>
      <c r="G76" t="inlineStr">
        <is>
          <t>ÖDESHÖG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48575-2025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46252</v>
      </c>
      <c r="F77" t="inlineStr">
        <is>
          <t>ÖSTERGÖTLANDS LÄN</t>
        </is>
      </c>
      <c r="G77" t="inlineStr">
        <is>
          <t>ÖDESHÖG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45048</v>
      </c>
      <c r="E78" s="1" t="n">
        <v>46252</v>
      </c>
      <c r="F78" t="inlineStr">
        <is>
          <t>ÖSTERGÖTLANDS LÄN</t>
        </is>
      </c>
      <c r="G78" t="inlineStr">
        <is>
          <t>ÖDESHÖG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45240</v>
      </c>
      <c r="E79" s="1" t="n">
        <v>46252</v>
      </c>
      <c r="F79" t="inlineStr">
        <is>
          <t>ÖSTERGÖTLANDS LÄN</t>
        </is>
      </c>
      <c r="G79" t="inlineStr">
        <is>
          <t>ÖDESHÖG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45027</v>
      </c>
      <c r="E80" s="1" t="n">
        <v>46252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46252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46252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45944</v>
      </c>
      <c r="E83" s="1" t="n">
        <v>46252</v>
      </c>
      <c r="F83" t="inlineStr">
        <is>
          <t>ÖSTERGÖTLANDS LÄN</t>
        </is>
      </c>
      <c r="G83" t="inlineStr">
        <is>
          <t>ÖDESHÖG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46252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46252</v>
      </c>
      <c r="F85" t="inlineStr">
        <is>
          <t>ÖSTERGÖTLANDS LÄN</t>
        </is>
      </c>
      <c r="G85" t="inlineStr">
        <is>
          <t>ÖDESHÖG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46252</v>
      </c>
      <c r="F86" t="inlineStr">
        <is>
          <t>ÖSTERGÖTLANDS LÄN</t>
        </is>
      </c>
      <c r="G86" t="inlineStr">
        <is>
          <t>ÖDESHÖG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14166-2023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45009</v>
      </c>
      <c r="E87" s="1" t="n">
        <v>46252</v>
      </c>
      <c r="F87" t="inlineStr">
        <is>
          <t>ÖSTERGÖTLANDS LÄN</t>
        </is>
      </c>
      <c r="G87" t="inlineStr">
        <is>
          <t>ÖDESHÖG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46252</v>
      </c>
      <c r="F88" t="inlineStr">
        <is>
          <t>ÖSTERGÖTLANDS LÄN</t>
        </is>
      </c>
      <c r="G88" t="inlineStr">
        <is>
          <t>ÖDESHÖG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46252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44623</v>
      </c>
      <c r="E90" s="1" t="n">
        <v>46252</v>
      </c>
      <c r="F90" t="inlineStr">
        <is>
          <t>ÖSTERGÖTLANDS LÄN</t>
        </is>
      </c>
      <c r="G90" t="inlineStr">
        <is>
          <t>ÖDESHÖG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46252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39920-2024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45553</v>
      </c>
      <c r="E92" s="1" t="n">
        <v>46252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46252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46252</v>
      </c>
      <c r="F94" t="inlineStr">
        <is>
          <t>ÖSTERGÖTLANDS LÄN</t>
        </is>
      </c>
      <c r="G94" t="inlineStr">
        <is>
          <t>ÖDESHÖG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46252</v>
      </c>
      <c r="F95" t="inlineStr">
        <is>
          <t>ÖSTERGÖTLANDS LÄN</t>
        </is>
      </c>
      <c r="G95" t="inlineStr">
        <is>
          <t>ÖDESHÖG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44658</v>
      </c>
      <c r="E96" s="1" t="n">
        <v>46252</v>
      </c>
      <c r="F96" t="inlineStr">
        <is>
          <t>ÖSTERGÖTLANDS LÄN</t>
        </is>
      </c>
      <c r="G96" t="inlineStr">
        <is>
          <t>ÖDESHÖG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54226-2021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46252</v>
      </c>
      <c r="F97" t="inlineStr">
        <is>
          <t>ÖSTERGÖTLANDS LÄN</t>
        </is>
      </c>
      <c r="G97" t="inlineStr">
        <is>
          <t>ÖDESHÖG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46252</v>
      </c>
      <c r="F98" t="inlineStr">
        <is>
          <t>ÖSTERGÖTLANDS LÄN</t>
        </is>
      </c>
      <c r="G98" t="inlineStr">
        <is>
          <t>ÖDESHÖG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46252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46252</v>
      </c>
      <c r="F100" t="inlineStr">
        <is>
          <t>ÖSTERGÖTLANDS LÄN</t>
        </is>
      </c>
      <c r="G100" t="inlineStr">
        <is>
          <t>ÖDESHÖG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46252</v>
      </c>
      <c r="F101" t="inlineStr">
        <is>
          <t>ÖSTERGÖTLANDS LÄN</t>
        </is>
      </c>
      <c r="G101" t="inlineStr">
        <is>
          <t>ÖDESHÖG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36075-2023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45149</v>
      </c>
      <c r="E102" s="1" t="n">
        <v>46252</v>
      </c>
      <c r="F102" t="inlineStr">
        <is>
          <t>ÖSTERGÖTLANDS LÄN</t>
        </is>
      </c>
      <c r="G102" t="inlineStr">
        <is>
          <t>ÖDESHÖG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46252</v>
      </c>
      <c r="F103" t="inlineStr">
        <is>
          <t>ÖSTERGÖTLANDS LÄN</t>
        </is>
      </c>
      <c r="G103" t="inlineStr">
        <is>
          <t>ÖDESHÖG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46252</v>
      </c>
      <c r="F104" t="inlineStr">
        <is>
          <t>ÖSTERGÖTLANDS LÄN</t>
        </is>
      </c>
      <c r="G104" t="inlineStr">
        <is>
          <t>ÖDESHÖG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46252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46252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46252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46252</v>
      </c>
      <c r="F108" t="inlineStr">
        <is>
          <t>ÖSTERGÖTLANDS LÄN</t>
        </is>
      </c>
      <c r="G108" t="inlineStr">
        <is>
          <t>ÖDESHÖG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46252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46252</v>
      </c>
      <c r="F110" t="inlineStr">
        <is>
          <t>ÖSTERGÖTLANDS LÄN</t>
        </is>
      </c>
      <c r="G110" t="inlineStr">
        <is>
          <t>ÖDESHÖG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46252</v>
      </c>
      <c r="F111" t="inlineStr">
        <is>
          <t>ÖSTERGÖTLANDS LÄN</t>
        </is>
      </c>
      <c r="G111" t="inlineStr">
        <is>
          <t>ÖDESHÖG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45416</v>
      </c>
      <c r="E112" s="1" t="n">
        <v>46252</v>
      </c>
      <c r="F112" t="inlineStr">
        <is>
          <t>ÖSTERGÖTLANDS LÄN</t>
        </is>
      </c>
      <c r="G112" t="inlineStr">
        <is>
          <t>ÖDESHÖG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46252</v>
      </c>
      <c r="F113" t="inlineStr">
        <is>
          <t>ÖSTERGÖTLANDS LÄN</t>
        </is>
      </c>
      <c r="G113" t="inlineStr">
        <is>
          <t>ÖDESHÖG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45693</v>
      </c>
      <c r="E114" s="1" t="n">
        <v>46252</v>
      </c>
      <c r="F114" t="inlineStr">
        <is>
          <t>ÖSTERGÖTLANDS LÄN</t>
        </is>
      </c>
      <c r="G114" t="inlineStr">
        <is>
          <t>ÖDESHÖG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46252</v>
      </c>
      <c r="F115" t="inlineStr">
        <is>
          <t>ÖSTERGÖTLANDS LÄN</t>
        </is>
      </c>
      <c r="G115" t="inlineStr">
        <is>
          <t>ÖDESHÖG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45331</v>
      </c>
      <c r="E116" s="1" t="n">
        <v>46252</v>
      </c>
      <c r="F116" t="inlineStr">
        <is>
          <t>ÖSTERGÖTLANDS LÄN</t>
        </is>
      </c>
      <c r="G116" t="inlineStr">
        <is>
          <t>ÖDESHÖG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14156-2023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45009</v>
      </c>
      <c r="E117" s="1" t="n">
        <v>46252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45002</v>
      </c>
      <c r="E118" s="1" t="n">
        <v>46252</v>
      </c>
      <c r="F118" t="inlineStr">
        <is>
          <t>ÖSTERGÖTLANDS LÄN</t>
        </is>
      </c>
      <c r="G118" t="inlineStr">
        <is>
          <t>ÖDESHÖG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46252</v>
      </c>
      <c r="F119" t="inlineStr">
        <is>
          <t>ÖSTERGÖTLANDS LÄN</t>
        </is>
      </c>
      <c r="G119" t="inlineStr">
        <is>
          <t>ÖDESHÖG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46252</v>
      </c>
      <c r="F120" t="inlineStr">
        <is>
          <t>ÖSTERGÖTLANDS LÄN</t>
        </is>
      </c>
      <c r="G120" t="inlineStr">
        <is>
          <t>ÖDESHÖG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46252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50387-2024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45600</v>
      </c>
      <c r="E122" s="1" t="n">
        <v>46252</v>
      </c>
      <c r="F122" t="inlineStr">
        <is>
          <t>ÖSTERGÖTLANDS LÄN</t>
        </is>
      </c>
      <c r="G122" t="inlineStr">
        <is>
          <t>ÖDESHÖG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45313</v>
      </c>
      <c r="E123" s="1" t="n">
        <v>46252</v>
      </c>
      <c r="F123" t="inlineStr">
        <is>
          <t>ÖSTERGÖTLANDS LÄN</t>
        </is>
      </c>
      <c r="G123" t="inlineStr">
        <is>
          <t>ÖDESHÖG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46252</v>
      </c>
      <c r="F124" t="inlineStr">
        <is>
          <t>ÖSTERGÖTLANDS LÄN</t>
        </is>
      </c>
      <c r="G124" t="inlineStr">
        <is>
          <t>ÖDESHÖG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46252</v>
      </c>
      <c r="F125" t="inlineStr">
        <is>
          <t>ÖSTERGÖTLANDS LÄN</t>
        </is>
      </c>
      <c r="G125" t="inlineStr">
        <is>
          <t>ÖDESHÖG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36730-2023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46252</v>
      </c>
      <c r="F126" t="inlineStr">
        <is>
          <t>ÖSTERGÖTLANDS LÄN</t>
        </is>
      </c>
      <c r="G126" t="inlineStr">
        <is>
          <t>ÖDESHÖG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46252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9.5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46252</v>
      </c>
      <c r="F128" t="inlineStr">
        <is>
          <t>ÖSTERGÖTLANDS LÄN</t>
        </is>
      </c>
      <c r="G128" t="inlineStr">
        <is>
          <t>ÖDESHÖG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45512</v>
      </c>
      <c r="E129" s="1" t="n">
        <v>46252</v>
      </c>
      <c r="F129" t="inlineStr">
        <is>
          <t>ÖSTERGÖTLANDS LÄN</t>
        </is>
      </c>
      <c r="G129" t="inlineStr">
        <is>
          <t>ÖDESHÖG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31447-2026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46220</v>
      </c>
      <c r="E130" s="1" t="n">
        <v>46252</v>
      </c>
      <c r="F130" t="inlineStr">
        <is>
          <t>ÖSTERGÖTLANDS LÄN</t>
        </is>
      </c>
      <c r="G130" t="inlineStr">
        <is>
          <t>ÖDESHÖG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45027</v>
      </c>
      <c r="E131" s="1" t="n">
        <v>46252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45065</v>
      </c>
      <c r="E132" s="1" t="n">
        <v>46252</v>
      </c>
      <c r="F132" t="inlineStr">
        <is>
          <t>ÖSTERGÖTLANDS LÄN</t>
        </is>
      </c>
      <c r="G132" t="inlineStr">
        <is>
          <t>ÖDESHÖG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46252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25895-2026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46252</v>
      </c>
      <c r="F134" t="inlineStr">
        <is>
          <t>ÖSTERGÖTLANDS LÄN</t>
        </is>
      </c>
      <c r="G134" t="inlineStr">
        <is>
          <t>ÖDESHÖG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46252</v>
      </c>
      <c r="F135" t="inlineStr">
        <is>
          <t>ÖSTERGÖTLANDS LÄN</t>
        </is>
      </c>
      <c r="G135" t="inlineStr">
        <is>
          <t>ÖDESHÖG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46252</v>
      </c>
      <c r="F136" t="inlineStr">
        <is>
          <t>ÖSTERGÖTLANDS LÄN</t>
        </is>
      </c>
      <c r="G136" t="inlineStr">
        <is>
          <t>ÖDESHÖG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46252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46252</v>
      </c>
      <c r="F138" t="inlineStr">
        <is>
          <t>ÖSTERGÖTLANDS LÄN</t>
        </is>
      </c>
      <c r="G138" t="inlineStr">
        <is>
          <t>ÖDESHÖG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46252</v>
      </c>
      <c r="F139" t="inlineStr">
        <is>
          <t>ÖSTERGÖTLANDS LÄN</t>
        </is>
      </c>
      <c r="G139" t="inlineStr">
        <is>
          <t>ÖDESHÖG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46003</v>
      </c>
      <c r="E140" s="1" t="n">
        <v>46252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46252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46252</v>
      </c>
      <c r="F142" t="inlineStr">
        <is>
          <t>ÖSTERGÖTLANDS LÄN</t>
        </is>
      </c>
      <c r="G142" t="inlineStr">
        <is>
          <t>ÖDESHÖG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46007</v>
      </c>
      <c r="E143" s="1" t="n">
        <v>46252</v>
      </c>
      <c r="F143" t="inlineStr">
        <is>
          <t>ÖSTERGÖTLANDS LÄN</t>
        </is>
      </c>
      <c r="G143" t="inlineStr">
        <is>
          <t>ÖDESHÖG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62202-2025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46252</v>
      </c>
      <c r="F144" t="inlineStr">
        <is>
          <t>ÖSTERGÖTLANDS LÄN</t>
        </is>
      </c>
      <c r="G144" t="inlineStr">
        <is>
          <t>ÖDESHÖG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46252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46252</v>
      </c>
      <c r="F146" t="inlineStr">
        <is>
          <t>ÖSTERGÖTLANDS LÄN</t>
        </is>
      </c>
      <c r="G146" t="inlineStr">
        <is>
          <t>ÖDESHÖG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45049</v>
      </c>
      <c r="E147" s="1" t="n">
        <v>46252</v>
      </c>
      <c r="F147" t="inlineStr">
        <is>
          <t>ÖSTERGÖTLANDS LÄN</t>
        </is>
      </c>
      <c r="G147" t="inlineStr">
        <is>
          <t>ÖDESHÖG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62801-2025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46252</v>
      </c>
      <c r="F148" t="inlineStr">
        <is>
          <t>ÖSTERGÖTLANDS LÄN</t>
        </is>
      </c>
      <c r="G148" t="inlineStr">
        <is>
          <t>ÖDESHÖG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45512</v>
      </c>
      <c r="E149" s="1" t="n">
        <v>46252</v>
      </c>
      <c r="F149" t="inlineStr">
        <is>
          <t>ÖSTERGÖTLANDS LÄN</t>
        </is>
      </c>
      <c r="G149" t="inlineStr">
        <is>
          <t>ÖDESHÖG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46252</v>
      </c>
      <c r="F150" t="inlineStr">
        <is>
          <t>ÖSTERGÖTLANDS LÄN</t>
        </is>
      </c>
      <c r="G150" t="inlineStr">
        <is>
          <t>ÖDESHÖG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61880-2021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46252</v>
      </c>
      <c r="F151" t="inlineStr">
        <is>
          <t>ÖSTERGÖTLANDS LÄN</t>
        </is>
      </c>
      <c r="G151" t="inlineStr">
        <is>
          <t>ÖDESHÖG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46252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46021</v>
      </c>
      <c r="E153" s="1" t="n">
        <v>46252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15906-2024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45405</v>
      </c>
      <c r="E154" s="1" t="n">
        <v>46252</v>
      </c>
      <c r="F154" t="inlineStr">
        <is>
          <t>ÖSTERGÖTLANDS LÄN</t>
        </is>
      </c>
      <c r="G154" t="inlineStr">
        <is>
          <t>ÖDESHÖG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46252</v>
      </c>
      <c r="F155" t="inlineStr">
        <is>
          <t>ÖSTERGÖTLANDS LÄN</t>
        </is>
      </c>
      <c r="G155" t="inlineStr">
        <is>
          <t>ÖDESHÖG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46252</v>
      </c>
      <c r="F156" t="inlineStr">
        <is>
          <t>ÖSTERGÖTLANDS LÄN</t>
        </is>
      </c>
      <c r="G156" t="inlineStr">
        <is>
          <t>ÖDESHÖG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46252</v>
      </c>
      <c r="F157" t="inlineStr">
        <is>
          <t>ÖSTERGÖTLANDS LÄN</t>
        </is>
      </c>
      <c r="G157" t="inlineStr">
        <is>
          <t>ÖDESHÖG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46252</v>
      </c>
      <c r="F158" t="inlineStr">
        <is>
          <t>ÖSTERGÖTLANDS LÄN</t>
        </is>
      </c>
      <c r="G158" t="inlineStr">
        <is>
          <t>ÖDESHÖG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46252</v>
      </c>
      <c r="F159" t="inlineStr">
        <is>
          <t>ÖSTERGÖTLANDS LÄN</t>
        </is>
      </c>
      <c r="G159" t="inlineStr">
        <is>
          <t>ÖDESHÖG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46252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46252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46252</v>
      </c>
      <c r="F162" t="inlineStr">
        <is>
          <t>ÖSTERGÖTLANDS LÄN</t>
        </is>
      </c>
      <c r="G162" t="inlineStr">
        <is>
          <t>ÖDESHÖG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46252</v>
      </c>
      <c r="F163" t="inlineStr">
        <is>
          <t>ÖSTERGÖTLANDS LÄN</t>
        </is>
      </c>
      <c r="G163" t="inlineStr">
        <is>
          <t>ÖDESHÖG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46252</v>
      </c>
      <c r="F164" t="inlineStr">
        <is>
          <t>ÖSTERGÖTLANDS LÄN</t>
        </is>
      </c>
      <c r="G164" t="inlineStr">
        <is>
          <t>ÖDESHÖG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46252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46252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45519</v>
      </c>
      <c r="E167" s="1" t="n">
        <v>46252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43263-2023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45183</v>
      </c>
      <c r="E168" s="1" t="n">
        <v>46252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46252</v>
      </c>
      <c r="F169" t="inlineStr">
        <is>
          <t>ÖSTERGÖTLANDS LÄN</t>
        </is>
      </c>
      <c r="G169" t="inlineStr">
        <is>
          <t>ÖDESHÖG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46252</v>
      </c>
      <c r="F170" t="inlineStr">
        <is>
          <t>ÖSTERGÖTLANDS LÄN</t>
        </is>
      </c>
      <c r="G170" t="inlineStr">
        <is>
          <t>ÖDESHÖG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46252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18.6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48325-2022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44858</v>
      </c>
      <c r="E172" s="1" t="n">
        <v>46252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15907-2024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45405</v>
      </c>
      <c r="E173" s="1" t="n">
        <v>46252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45405</v>
      </c>
      <c r="E174" s="1" t="n">
        <v>46252</v>
      </c>
      <c r="F174" t="inlineStr">
        <is>
          <t>ÖSTERGÖTLANDS LÄN</t>
        </is>
      </c>
      <c r="G174" t="inlineStr">
        <is>
          <t>ÖDESHÖG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20232-2022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44698</v>
      </c>
      <c r="E175" s="1" t="n">
        <v>46252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46252</v>
      </c>
      <c r="F176" t="inlineStr">
        <is>
          <t>ÖSTERGÖTLANDS LÄN</t>
        </is>
      </c>
      <c r="G176" t="inlineStr">
        <is>
          <t>ÖDESHÖG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45373</v>
      </c>
      <c r="E177" s="1" t="n">
        <v>46252</v>
      </c>
      <c r="F177" t="inlineStr">
        <is>
          <t>ÖSTERGÖTLANDS LÄN</t>
        </is>
      </c>
      <c r="G177" t="inlineStr">
        <is>
          <t>ÖDESHÖG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46252</v>
      </c>
      <c r="F178" t="inlineStr">
        <is>
          <t>ÖSTERGÖTLANDS LÄN</t>
        </is>
      </c>
      <c r="G178" t="inlineStr">
        <is>
          <t>ÖDESHÖG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46252</v>
      </c>
      <c r="F179" t="inlineStr">
        <is>
          <t>ÖSTERGÖTLANDS LÄN</t>
        </is>
      </c>
      <c r="G179" t="inlineStr">
        <is>
          <t>ÖDESHÖG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46252</v>
      </c>
      <c r="F180" t="inlineStr">
        <is>
          <t>ÖSTERGÖTLANDS LÄN</t>
        </is>
      </c>
      <c r="G180" t="inlineStr">
        <is>
          <t>ÖDESHÖG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46252</v>
      </c>
      <c r="F181" t="inlineStr">
        <is>
          <t>ÖSTERGÖTLANDS LÄN</t>
        </is>
      </c>
      <c r="G181" t="inlineStr">
        <is>
          <t>ÖDESHÖG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46252</v>
      </c>
      <c r="F182" t="inlineStr">
        <is>
          <t>ÖSTERGÖTLANDS LÄN</t>
        </is>
      </c>
      <c r="G182" t="inlineStr">
        <is>
          <t>ÖDESHÖG</t>
        </is>
      </c>
      <c r="I182" t="n">
        <v>13.4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11193-2023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44992</v>
      </c>
      <c r="E183" s="1" t="n">
        <v>46252</v>
      </c>
      <c r="F183" t="inlineStr">
        <is>
          <t>ÖSTERGÖTLANDS LÄN</t>
        </is>
      </c>
      <c r="G183" t="inlineStr">
        <is>
          <t>ÖDESHÖG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46252</v>
      </c>
      <c r="F184" t="inlineStr">
        <is>
          <t>ÖSTERGÖTLANDS LÄN</t>
        </is>
      </c>
      <c r="G184" t="inlineStr">
        <is>
          <t>ÖDESHÖG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45491</v>
      </c>
      <c r="E185" s="1" t="n">
        <v>46252</v>
      </c>
      <c r="F185" t="inlineStr">
        <is>
          <t>ÖSTERGÖTLANDS LÄN</t>
        </is>
      </c>
      <c r="G185" t="inlineStr">
        <is>
          <t>ÖDESHÖG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46252</v>
      </c>
      <c r="F186" t="inlineStr">
        <is>
          <t>ÖSTERGÖTLANDS LÄN</t>
        </is>
      </c>
      <c r="G186" t="inlineStr">
        <is>
          <t>ÖDESHÖG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46252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22.7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44796</v>
      </c>
      <c r="E188" s="1" t="n">
        <v>46252</v>
      </c>
      <c r="F188" t="inlineStr">
        <is>
          <t>ÖSTERGÖTLANDS LÄN</t>
        </is>
      </c>
      <c r="G188" t="inlineStr">
        <is>
          <t>ÖDESHÖG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46252</v>
      </c>
      <c r="F189" t="inlineStr">
        <is>
          <t>ÖSTERGÖTLANDS LÄN</t>
        </is>
      </c>
      <c r="G189" t="inlineStr">
        <is>
          <t>ÖDESHÖG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45009</v>
      </c>
      <c r="E190" s="1" t="n">
        <v>46252</v>
      </c>
      <c r="F190" t="inlineStr">
        <is>
          <t>ÖSTERGÖTLANDS LÄN</t>
        </is>
      </c>
      <c r="G190" t="inlineStr">
        <is>
          <t>ÖDESHÖG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46252</v>
      </c>
      <c r="F191" t="inlineStr">
        <is>
          <t>ÖSTERGÖTLANDS LÄN</t>
        </is>
      </c>
      <c r="G191" t="inlineStr">
        <is>
          <t>ÖDESHÖG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46252</v>
      </c>
      <c r="F192" t="inlineStr">
        <is>
          <t>ÖSTERGÖTLANDS LÄN</t>
        </is>
      </c>
      <c r="G192" t="inlineStr">
        <is>
          <t>ÖDESHÖG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45699</v>
      </c>
      <c r="E193" s="1" t="n">
        <v>46252</v>
      </c>
      <c r="F193" t="inlineStr">
        <is>
          <t>ÖSTERGÖTLANDS LÄN</t>
        </is>
      </c>
      <c r="G193" t="inlineStr">
        <is>
          <t>ÖDESHÖG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39190-2023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45166</v>
      </c>
      <c r="E194" s="1" t="n">
        <v>46252</v>
      </c>
      <c r="F194" t="inlineStr">
        <is>
          <t>ÖSTERGÖTLANDS LÄN</t>
        </is>
      </c>
      <c r="G194" t="inlineStr">
        <is>
          <t>ÖDESHÖG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14617-2026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46252</v>
      </c>
      <c r="F195" t="inlineStr">
        <is>
          <t>ÖSTERGÖTLANDS LÄN</t>
        </is>
      </c>
      <c r="G195" t="inlineStr">
        <is>
          <t>ÖDESHÖG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46252</v>
      </c>
      <c r="F196" t="inlineStr">
        <is>
          <t>ÖSTERGÖTLANDS LÄN</t>
        </is>
      </c>
      <c r="G196" t="inlineStr">
        <is>
          <t>ÖDESHÖG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46252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46111</v>
      </c>
      <c r="E198" s="1" t="n">
        <v>46252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46252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16341-2026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46252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46252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46252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45049</v>
      </c>
      <c r="E203" s="1" t="n">
        <v>46252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46252</v>
      </c>
      <c r="F204" t="inlineStr">
        <is>
          <t>ÖSTERGÖTLANDS LÄN</t>
        </is>
      </c>
      <c r="G204" t="inlineStr">
        <is>
          <t>ÖDESHÖG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46109</v>
      </c>
      <c r="E205" s="1" t="n">
        <v>46252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46109</v>
      </c>
      <c r="E206" s="1" t="n">
        <v>46252</v>
      </c>
      <c r="F206" t="inlineStr">
        <is>
          <t>ÖSTERGÖTLANDS LÄN</t>
        </is>
      </c>
      <c r="G206" t="inlineStr">
        <is>
          <t>ÖDESHÖG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46198</v>
      </c>
      <c r="E207" s="1" t="n">
        <v>46252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46252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46252</v>
      </c>
      <c r="F209" t="inlineStr">
        <is>
          <t>ÖSTERGÖTLANDS LÄN</t>
        </is>
      </c>
      <c r="G209" t="inlineStr">
        <is>
          <t>ÖDESHÖG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46252</v>
      </c>
      <c r="F210" t="inlineStr">
        <is>
          <t>ÖSTERGÖTLANDS LÄN</t>
        </is>
      </c>
      <c r="G210" t="inlineStr">
        <is>
          <t>ÖDESHÖG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44999</v>
      </c>
      <c r="E211" s="1" t="n">
        <v>46252</v>
      </c>
      <c r="F211" t="inlineStr">
        <is>
          <t>ÖSTERGÖTLANDS LÄN</t>
        </is>
      </c>
      <c r="G211" t="inlineStr">
        <is>
          <t>ÖDESHÖG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46199</v>
      </c>
      <c r="E212" s="1" t="n">
        <v>46252</v>
      </c>
      <c r="F212" t="inlineStr">
        <is>
          <t>ÖSTERGÖTLANDS LÄN</t>
        </is>
      </c>
      <c r="G212" t="inlineStr">
        <is>
          <t>ÖDESHÖG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46252</v>
      </c>
      <c r="F213" t="inlineStr">
        <is>
          <t>ÖSTERGÖTLANDS LÄN</t>
        </is>
      </c>
      <c r="G213" t="inlineStr">
        <is>
          <t>ÖDESHÖG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46252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44936</v>
      </c>
      <c r="E215" s="1" t="n">
        <v>46252</v>
      </c>
      <c r="F215" t="inlineStr">
        <is>
          <t>ÖSTERGÖTLANDS LÄN</t>
        </is>
      </c>
      <c r="G215" t="inlineStr">
        <is>
          <t>ÖDESHÖG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45692</v>
      </c>
      <c r="E216" s="1" t="n">
        <v>46252</v>
      </c>
      <c r="F216" t="inlineStr">
        <is>
          <t>ÖSTERGÖTLANDS LÄN</t>
        </is>
      </c>
      <c r="G216" t="inlineStr">
        <is>
          <t>ÖDESHÖG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14736-2024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45397</v>
      </c>
      <c r="E217" s="1" t="n">
        <v>46252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45084</v>
      </c>
      <c r="E218" s="1" t="n">
        <v>46252</v>
      </c>
      <c r="F218" t="inlineStr">
        <is>
          <t>ÖSTERGÖTLANDS LÄN</t>
        </is>
      </c>
      <c r="G218" t="inlineStr">
        <is>
          <t>ÖDESHÖG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45491</v>
      </c>
      <c r="E219" s="1" t="n">
        <v>46252</v>
      </c>
      <c r="F219" t="inlineStr">
        <is>
          <t>ÖSTERGÖTLANDS LÄN</t>
        </is>
      </c>
      <c r="G219" t="inlineStr">
        <is>
          <t>ÖDESHÖG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46252</v>
      </c>
      <c r="F220" t="inlineStr">
        <is>
          <t>ÖSTERGÖTLANDS LÄN</t>
        </is>
      </c>
      <c r="G220" t="inlineStr">
        <is>
          <t>ÖDESHÖG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72603-2021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44546</v>
      </c>
      <c r="E221" s="1" t="n">
        <v>46252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46024</v>
      </c>
      <c r="E222" s="1" t="n">
        <v>46252</v>
      </c>
      <c r="F222" t="inlineStr">
        <is>
          <t>ÖSTERGÖTLANDS LÄN</t>
        </is>
      </c>
      <c r="G222" t="inlineStr">
        <is>
          <t>ÖDESHÖG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63074-2025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46009</v>
      </c>
      <c r="E223" s="1" t="n">
        <v>46252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Allmännings- och besparingsskogar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45014</v>
      </c>
      <c r="E224" s="1" t="n">
        <v>46252</v>
      </c>
      <c r="F224" t="inlineStr">
        <is>
          <t>ÖSTERGÖTLANDS LÄN</t>
        </is>
      </c>
      <c r="G224" t="inlineStr">
        <is>
          <t>ÖDESHÖG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45203</v>
      </c>
      <c r="E225" s="1" t="n">
        <v>46252</v>
      </c>
      <c r="F225" t="inlineStr">
        <is>
          <t>ÖSTERGÖTLANDS LÄN</t>
        </is>
      </c>
      <c r="G225" t="inlineStr">
        <is>
          <t>ÖDESHÖG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46252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46252</v>
      </c>
      <c r="F227" t="inlineStr">
        <is>
          <t>ÖSTERGÖTLANDS LÄN</t>
        </is>
      </c>
      <c r="G227" t="inlineStr">
        <is>
          <t>ÖDESHÖG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46252</v>
      </c>
      <c r="F228" t="inlineStr">
        <is>
          <t>ÖSTERGÖTLANDS LÄN</t>
        </is>
      </c>
      <c r="G228" t="inlineStr">
        <is>
          <t>ÖDESHÖG</t>
        </is>
      </c>
      <c r="H228" t="inlineStr">
        <is>
          <t>Sveaskog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46252</v>
      </c>
      <c r="F229" t="inlineStr">
        <is>
          <t>ÖSTERGÖTLANDS LÄN</t>
        </is>
      </c>
      <c r="G229" t="inlineStr">
        <is>
          <t>ÖDESHÖG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46252</v>
      </c>
      <c r="F230" t="inlineStr">
        <is>
          <t>ÖSTERGÖTLANDS LÄN</t>
        </is>
      </c>
      <c r="G230" t="inlineStr">
        <is>
          <t>ÖDESHÖG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45217</v>
      </c>
      <c r="E231" s="1" t="n">
        <v>46252</v>
      </c>
      <c r="F231" t="inlineStr">
        <is>
          <t>ÖSTERGÖTLANDS LÄN</t>
        </is>
      </c>
      <c r="G231" t="inlineStr">
        <is>
          <t>ÖDESHÖG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61011-2024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45645</v>
      </c>
      <c r="E232" s="1" t="n">
        <v>46252</v>
      </c>
      <c r="F232" t="inlineStr">
        <is>
          <t>ÖSTERGÖTLANDS LÄN</t>
        </is>
      </c>
      <c r="G232" t="inlineStr">
        <is>
          <t>ÖDESHÖG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46252</v>
      </c>
      <c r="F233" t="inlineStr">
        <is>
          <t>ÖSTERGÖTLANDS LÄN</t>
        </is>
      </c>
      <c r="G233" t="inlineStr">
        <is>
          <t>ÖDESHÖG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46252</v>
      </c>
      <c r="F234" t="inlineStr">
        <is>
          <t>ÖSTERGÖTLANDS LÄN</t>
        </is>
      </c>
      <c r="G234" t="inlineStr">
        <is>
          <t>ÖDESHÖG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46252</v>
      </c>
      <c r="F235" t="inlineStr">
        <is>
          <t>ÖSTERGÖTLANDS LÄN</t>
        </is>
      </c>
      <c r="G235" t="inlineStr">
        <is>
          <t>ÖDESHÖG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46252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46252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46252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2026-08-18T01:49:23Z</dcterms:created>
  <dcterms:modified xmlns:dcterms="http://purl.org/dc/terms/" xmlns:xsi="http://www.w3.org/2001/XMLSchema-instance" xsi:type="dcterms:W3CDTF">2026-08-18T01:49:24Z</dcterms:modified>
</cp:coreProperties>
</file>